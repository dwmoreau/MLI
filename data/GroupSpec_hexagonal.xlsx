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1FE150B1-9F45-9247-8D93-67C2B06B2C72}" xr6:coauthVersionLast="40" xr6:coauthVersionMax="40" xr10:uidLastSave="{00000000-0000-0000-0000-000000000000}"/>
  <bookViews>
    <workbookView xWindow="5620" yWindow="-18380" windowWidth="27640" windowHeight="16940" activeTab="1" xr2:uid="{4239A55F-B6A0-B74B-A834-7472AF0EB929}"/>
  </bookViews>
  <sheets>
    <sheet name="template" sheetId="1" r:id="rId1"/>
    <sheet name="Groups V0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5" l="1"/>
  <c r="D35" i="5"/>
  <c r="D52" i="5"/>
  <c r="D61" i="5"/>
  <c r="D21" i="5" l="1"/>
  <c r="D10" i="5"/>
  <c r="D46" i="5"/>
  <c r="D40" i="5"/>
</calcChain>
</file>

<file path=xl/sharedStrings.xml><?xml version="1.0" encoding="utf-8"?>
<sst xmlns="http://schemas.openxmlformats.org/spreadsheetml/2006/main" count="261" uniqueCount="71">
  <si>
    <t>spacegroup number</t>
  </si>
  <si>
    <t>hm symbol</t>
  </si>
  <si>
    <t>group</t>
  </si>
  <si>
    <t>counts</t>
  </si>
  <si>
    <t>hkl</t>
  </si>
  <si>
    <t>0kl</t>
  </si>
  <si>
    <t>h0l</t>
  </si>
  <si>
    <t>hk0</t>
  </si>
  <si>
    <t>h00</t>
  </si>
  <si>
    <t>0k0</t>
  </si>
  <si>
    <t>00l</t>
  </si>
  <si>
    <t>l = 2n</t>
  </si>
  <si>
    <t>hhl</t>
  </si>
  <si>
    <t>hh0</t>
  </si>
  <si>
    <t>counts (a &lt; c)</t>
  </si>
  <si>
    <t>counts (a &gt; c)</t>
  </si>
  <si>
    <t>P 3</t>
  </si>
  <si>
    <t>P 31</t>
  </si>
  <si>
    <t>P 32</t>
  </si>
  <si>
    <t>P -3</t>
  </si>
  <si>
    <t>P 3 1 2</t>
  </si>
  <si>
    <t>P 3 2 1</t>
  </si>
  <si>
    <t>P 31 1 2</t>
  </si>
  <si>
    <t>P 31 2 1</t>
  </si>
  <si>
    <t>P 32 1 2</t>
  </si>
  <si>
    <t>P 32 2 1</t>
  </si>
  <si>
    <t>P 3 m 1</t>
  </si>
  <si>
    <t>P 3 1 m</t>
  </si>
  <si>
    <t>P 3 c 1</t>
  </si>
  <si>
    <t>P 3 1 c</t>
  </si>
  <si>
    <t>P -3 1 m</t>
  </si>
  <si>
    <t>P -3 1 c</t>
  </si>
  <si>
    <t>P -3 m 1</t>
  </si>
  <si>
    <t>P -3 c 1</t>
  </si>
  <si>
    <t>P 6</t>
  </si>
  <si>
    <t>P 61</t>
  </si>
  <si>
    <t>P 65</t>
  </si>
  <si>
    <t>P 62</t>
  </si>
  <si>
    <t>P 64</t>
  </si>
  <si>
    <t>P 63</t>
  </si>
  <si>
    <t>P -6</t>
  </si>
  <si>
    <t>P 6/m</t>
  </si>
  <si>
    <t>P 63/m</t>
  </si>
  <si>
    <t>P 6 2 2</t>
  </si>
  <si>
    <t>P 61 2 2</t>
  </si>
  <si>
    <t>P 65 2 2</t>
  </si>
  <si>
    <t>P 62 2 2</t>
  </si>
  <si>
    <t>P 64 2 2</t>
  </si>
  <si>
    <t>P 63 2 2</t>
  </si>
  <si>
    <t>P 6 m m</t>
  </si>
  <si>
    <t>P 6 c c</t>
  </si>
  <si>
    <t>P 63 c m</t>
  </si>
  <si>
    <t>P 63 m c</t>
  </si>
  <si>
    <t>P -6 m 2</t>
  </si>
  <si>
    <t>P -6 c 2</t>
  </si>
  <si>
    <t>P -6 2 m</t>
  </si>
  <si>
    <t>P -6 2 c</t>
  </si>
  <si>
    <t>P 6/m m m</t>
  </si>
  <si>
    <t>P 6/m c c</t>
  </si>
  <si>
    <t>P 63/m c m</t>
  </si>
  <si>
    <t>P 63/m m c</t>
  </si>
  <si>
    <t>l = 3n</t>
  </si>
  <si>
    <t>l = 6n</t>
  </si>
  <si>
    <t>hexagonal_00</t>
  </si>
  <si>
    <t>hexagonal_01</t>
  </si>
  <si>
    <t>hexagonal_03</t>
  </si>
  <si>
    <t>hexagonal_04</t>
  </si>
  <si>
    <t>hexagonal_05</t>
  </si>
  <si>
    <t>hexagonal_06</t>
  </si>
  <si>
    <t>hexagonal_07</t>
  </si>
  <si>
    <t>hexagonal_08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</si>
</sst>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A554-DCE4-B94D-8A39-A08CC83ACBDF}">
  <dimension ref="A1:O62"/>
  <sheetViews>
    <sheetView topLeftCell="A18" zoomScale="110" zoomScaleNormal="110" workbookViewId="0">
      <selection activeCell="A42" sqref="A42:XFD42"/>
    </sheetView>
  </sheetViews>
  <sheetFormatPr baseColWidth="10" defaultRowHeight="16" x14ac:dyDescent="0.2"/>
  <cols>
    <col min="1" max="1" width="18.83203125" customWidth="1"/>
    <col min="5" max="5" width="11.5" customWidth="1"/>
    <col min="6" max="6" width="11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">
      <c r="A2">
        <v>143</v>
      </c>
      <c r="B2" t="s">
        <v>16</v>
      </c>
      <c r="D2">
        <v>274</v>
      </c>
    </row>
    <row r="3" spans="1:15" x14ac:dyDescent="0.2">
      <c r="A3">
        <v>144</v>
      </c>
      <c r="B3" t="s">
        <v>17</v>
      </c>
      <c r="D3">
        <v>691</v>
      </c>
      <c r="M3" t="s">
        <v>61</v>
      </c>
    </row>
    <row r="4" spans="1:15" x14ac:dyDescent="0.2">
      <c r="A4">
        <v>145</v>
      </c>
      <c r="B4" t="s">
        <v>18</v>
      </c>
      <c r="D4">
        <v>689</v>
      </c>
      <c r="M4" t="s">
        <v>61</v>
      </c>
    </row>
    <row r="5" spans="1:15" x14ac:dyDescent="0.2">
      <c r="A5">
        <v>147</v>
      </c>
      <c r="B5" t="s">
        <v>19</v>
      </c>
      <c r="D5">
        <v>1218</v>
      </c>
    </row>
    <row r="6" spans="1:15" x14ac:dyDescent="0.2">
      <c r="A6">
        <v>149</v>
      </c>
      <c r="B6" t="s">
        <v>20</v>
      </c>
      <c r="D6">
        <v>20</v>
      </c>
    </row>
    <row r="7" spans="1:15" x14ac:dyDescent="0.2">
      <c r="A7">
        <v>150</v>
      </c>
      <c r="B7" t="s">
        <v>21</v>
      </c>
      <c r="D7">
        <v>197</v>
      </c>
    </row>
    <row r="8" spans="1:15" x14ac:dyDescent="0.2">
      <c r="A8">
        <v>151</v>
      </c>
      <c r="B8" t="s">
        <v>22</v>
      </c>
      <c r="D8">
        <v>39</v>
      </c>
      <c r="M8" t="s">
        <v>61</v>
      </c>
    </row>
    <row r="9" spans="1:15" x14ac:dyDescent="0.2">
      <c r="A9">
        <v>152</v>
      </c>
      <c r="B9" t="s">
        <v>23</v>
      </c>
      <c r="D9">
        <v>911</v>
      </c>
      <c r="M9" t="s">
        <v>61</v>
      </c>
    </row>
    <row r="10" spans="1:15" x14ac:dyDescent="0.2">
      <c r="A10">
        <v>153</v>
      </c>
      <c r="B10" t="s">
        <v>24</v>
      </c>
      <c r="D10">
        <v>16</v>
      </c>
      <c r="M10" t="s">
        <v>61</v>
      </c>
    </row>
    <row r="11" spans="1:15" x14ac:dyDescent="0.2">
      <c r="A11">
        <v>154</v>
      </c>
      <c r="B11" t="s">
        <v>25</v>
      </c>
      <c r="D11">
        <v>699</v>
      </c>
      <c r="M11" t="s">
        <v>61</v>
      </c>
    </row>
    <row r="12" spans="1:15" x14ac:dyDescent="0.2">
      <c r="A12">
        <v>156</v>
      </c>
      <c r="B12" t="s">
        <v>26</v>
      </c>
      <c r="D12">
        <v>56</v>
      </c>
      <c r="G12" s="1"/>
      <c r="H12" s="1"/>
      <c r="I12" s="1"/>
      <c r="J12" s="1"/>
      <c r="K12" s="1"/>
      <c r="L12" s="1"/>
      <c r="M12" s="1"/>
    </row>
    <row r="13" spans="1:15" x14ac:dyDescent="0.2">
      <c r="A13">
        <v>157</v>
      </c>
      <c r="B13" t="s">
        <v>27</v>
      </c>
      <c r="D13">
        <v>551</v>
      </c>
    </row>
    <row r="14" spans="1:15" x14ac:dyDescent="0.2">
      <c r="A14">
        <v>158</v>
      </c>
      <c r="B14" t="s">
        <v>28</v>
      </c>
      <c r="D14">
        <v>102</v>
      </c>
      <c r="H14" t="s">
        <v>11</v>
      </c>
      <c r="I14" t="s">
        <v>11</v>
      </c>
      <c r="M14" t="s">
        <v>11</v>
      </c>
    </row>
    <row r="15" spans="1:15" x14ac:dyDescent="0.2">
      <c r="A15">
        <v>159</v>
      </c>
      <c r="B15" t="s">
        <v>29</v>
      </c>
      <c r="D15">
        <v>402</v>
      </c>
      <c r="M15" t="s">
        <v>11</v>
      </c>
      <c r="N15" t="s">
        <v>11</v>
      </c>
    </row>
    <row r="16" spans="1:15" x14ac:dyDescent="0.2">
      <c r="A16">
        <v>162</v>
      </c>
      <c r="B16" t="s">
        <v>30</v>
      </c>
      <c r="D16">
        <v>112</v>
      </c>
    </row>
    <row r="17" spans="1:14" x14ac:dyDescent="0.2">
      <c r="A17">
        <v>163</v>
      </c>
      <c r="B17" t="s">
        <v>31</v>
      </c>
      <c r="D17">
        <v>459</v>
      </c>
      <c r="M17" t="s">
        <v>11</v>
      </c>
      <c r="N17" t="s">
        <v>11</v>
      </c>
    </row>
    <row r="18" spans="1:14" x14ac:dyDescent="0.2">
      <c r="A18">
        <v>164</v>
      </c>
      <c r="B18" t="s">
        <v>32</v>
      </c>
      <c r="D18">
        <v>645</v>
      </c>
    </row>
    <row r="19" spans="1:14" x14ac:dyDescent="0.2">
      <c r="A19">
        <v>165</v>
      </c>
      <c r="B19" t="s">
        <v>33</v>
      </c>
      <c r="D19">
        <v>676</v>
      </c>
      <c r="H19" t="s">
        <v>11</v>
      </c>
      <c r="I19" t="s">
        <v>11</v>
      </c>
      <c r="M19" t="s">
        <v>11</v>
      </c>
    </row>
    <row r="20" spans="1:14" x14ac:dyDescent="0.2">
      <c r="A20">
        <v>168</v>
      </c>
      <c r="B20" t="s">
        <v>34</v>
      </c>
      <c r="D20">
        <v>28</v>
      </c>
    </row>
    <row r="21" spans="1:14" x14ac:dyDescent="0.2">
      <c r="A21">
        <v>169</v>
      </c>
      <c r="B21" t="s">
        <v>35</v>
      </c>
      <c r="D21">
        <v>586</v>
      </c>
      <c r="M21" t="s">
        <v>62</v>
      </c>
    </row>
    <row r="22" spans="1:14" x14ac:dyDescent="0.2">
      <c r="A22">
        <v>170</v>
      </c>
      <c r="B22" t="s">
        <v>36</v>
      </c>
      <c r="D22">
        <v>552</v>
      </c>
      <c r="M22" t="s">
        <v>62</v>
      </c>
    </row>
    <row r="23" spans="1:14" x14ac:dyDescent="0.2">
      <c r="A23">
        <v>171</v>
      </c>
      <c r="B23" t="s">
        <v>37</v>
      </c>
      <c r="D23">
        <v>72</v>
      </c>
      <c r="M23" t="s">
        <v>61</v>
      </c>
    </row>
    <row r="24" spans="1:14" x14ac:dyDescent="0.2">
      <c r="A24">
        <v>172</v>
      </c>
      <c r="B24" t="s">
        <v>38</v>
      </c>
      <c r="D24">
        <v>54</v>
      </c>
      <c r="M24" t="s">
        <v>61</v>
      </c>
    </row>
    <row r="25" spans="1:14" x14ac:dyDescent="0.2">
      <c r="A25">
        <v>173</v>
      </c>
      <c r="B25" t="s">
        <v>39</v>
      </c>
      <c r="D25">
        <v>914</v>
      </c>
      <c r="M25" t="s">
        <v>11</v>
      </c>
    </row>
    <row r="26" spans="1:14" x14ac:dyDescent="0.2">
      <c r="A26">
        <v>174</v>
      </c>
      <c r="B26" t="s">
        <v>40</v>
      </c>
      <c r="D26">
        <v>115</v>
      </c>
    </row>
    <row r="27" spans="1:14" x14ac:dyDescent="0.2">
      <c r="A27">
        <v>175</v>
      </c>
      <c r="B27" t="s">
        <v>41</v>
      </c>
      <c r="D27">
        <v>77</v>
      </c>
    </row>
    <row r="28" spans="1:14" x14ac:dyDescent="0.2">
      <c r="A28">
        <v>176</v>
      </c>
      <c r="B28" t="s">
        <v>42</v>
      </c>
      <c r="D28">
        <v>1461</v>
      </c>
      <c r="M28" t="s">
        <v>11</v>
      </c>
    </row>
    <row r="29" spans="1:14" x14ac:dyDescent="0.2">
      <c r="A29">
        <v>177</v>
      </c>
      <c r="B29" t="s">
        <v>43</v>
      </c>
      <c r="D29">
        <v>19</v>
      </c>
    </row>
    <row r="30" spans="1:14" x14ac:dyDescent="0.2">
      <c r="A30">
        <v>178</v>
      </c>
      <c r="B30" t="s">
        <v>44</v>
      </c>
      <c r="D30">
        <v>230</v>
      </c>
      <c r="M30" t="s">
        <v>62</v>
      </c>
    </row>
    <row r="31" spans="1:14" x14ac:dyDescent="0.2">
      <c r="A31">
        <v>179</v>
      </c>
      <c r="B31" t="s">
        <v>45</v>
      </c>
      <c r="D31">
        <v>202</v>
      </c>
      <c r="M31" t="s">
        <v>62</v>
      </c>
    </row>
    <row r="32" spans="1:14" x14ac:dyDescent="0.2">
      <c r="A32">
        <v>180</v>
      </c>
      <c r="B32" t="s">
        <v>46</v>
      </c>
      <c r="D32">
        <v>101</v>
      </c>
      <c r="M32" t="s">
        <v>61</v>
      </c>
    </row>
    <row r="33" spans="1:14" x14ac:dyDescent="0.2">
      <c r="A33">
        <v>181</v>
      </c>
      <c r="B33" t="s">
        <v>47</v>
      </c>
      <c r="D33">
        <v>54</v>
      </c>
      <c r="M33" t="s">
        <v>61</v>
      </c>
    </row>
    <row r="34" spans="1:14" x14ac:dyDescent="0.2">
      <c r="A34">
        <v>182</v>
      </c>
      <c r="B34" t="s">
        <v>48</v>
      </c>
      <c r="D34">
        <v>174</v>
      </c>
      <c r="M34" t="s">
        <v>11</v>
      </c>
    </row>
    <row r="35" spans="1:14" x14ac:dyDescent="0.2">
      <c r="A35">
        <v>183</v>
      </c>
      <c r="B35" t="s">
        <v>49</v>
      </c>
      <c r="D35">
        <v>6</v>
      </c>
    </row>
    <row r="36" spans="1:14" x14ac:dyDescent="0.2">
      <c r="A36">
        <v>184</v>
      </c>
      <c r="B36" t="s">
        <v>50</v>
      </c>
      <c r="D36">
        <v>15</v>
      </c>
      <c r="H36" t="s">
        <v>11</v>
      </c>
      <c r="I36" t="s">
        <v>11</v>
      </c>
      <c r="M36" t="s">
        <v>11</v>
      </c>
      <c r="N36" t="s">
        <v>11</v>
      </c>
    </row>
    <row r="37" spans="1:14" x14ac:dyDescent="0.2">
      <c r="A37">
        <v>185</v>
      </c>
      <c r="B37" t="s">
        <v>51</v>
      </c>
      <c r="D37">
        <v>96</v>
      </c>
      <c r="H37" t="s">
        <v>11</v>
      </c>
      <c r="I37" t="s">
        <v>11</v>
      </c>
      <c r="M37" t="s">
        <v>11</v>
      </c>
    </row>
    <row r="38" spans="1:14" x14ac:dyDescent="0.2">
      <c r="A38">
        <v>186</v>
      </c>
      <c r="B38" t="s">
        <v>52</v>
      </c>
      <c r="D38">
        <v>488</v>
      </c>
      <c r="M38" t="s">
        <v>11</v>
      </c>
      <c r="N38" t="s">
        <v>11</v>
      </c>
    </row>
    <row r="39" spans="1:14" x14ac:dyDescent="0.2">
      <c r="A39">
        <v>187</v>
      </c>
      <c r="B39" t="s">
        <v>53</v>
      </c>
      <c r="D39">
        <v>114</v>
      </c>
    </row>
    <row r="40" spans="1:14" x14ac:dyDescent="0.2">
      <c r="A40">
        <v>188</v>
      </c>
      <c r="B40" t="s">
        <v>54</v>
      </c>
      <c r="D40">
        <v>41</v>
      </c>
      <c r="H40" t="s">
        <v>11</v>
      </c>
      <c r="I40" t="s">
        <v>11</v>
      </c>
      <c r="M40" t="s">
        <v>11</v>
      </c>
    </row>
    <row r="41" spans="1:14" x14ac:dyDescent="0.2">
      <c r="A41">
        <v>189</v>
      </c>
      <c r="B41" t="s">
        <v>55</v>
      </c>
      <c r="D41">
        <v>343</v>
      </c>
    </row>
    <row r="42" spans="1:14" x14ac:dyDescent="0.2">
      <c r="A42">
        <v>190</v>
      </c>
      <c r="B42" t="s">
        <v>56</v>
      </c>
      <c r="D42">
        <v>244</v>
      </c>
      <c r="M42" t="s">
        <v>11</v>
      </c>
      <c r="N42" t="s">
        <v>11</v>
      </c>
    </row>
    <row r="43" spans="1:14" x14ac:dyDescent="0.2">
      <c r="A43">
        <v>191</v>
      </c>
      <c r="B43" t="s">
        <v>57</v>
      </c>
      <c r="D43">
        <v>817</v>
      </c>
    </row>
    <row r="44" spans="1:14" x14ac:dyDescent="0.2">
      <c r="A44">
        <v>192</v>
      </c>
      <c r="B44" t="s">
        <v>58</v>
      </c>
      <c r="D44">
        <v>120</v>
      </c>
      <c r="H44" t="s">
        <v>11</v>
      </c>
      <c r="I44" t="s">
        <v>11</v>
      </c>
      <c r="M44" t="s">
        <v>11</v>
      </c>
      <c r="N44" t="s">
        <v>11</v>
      </c>
    </row>
    <row r="45" spans="1:14" x14ac:dyDescent="0.2">
      <c r="A45">
        <v>193</v>
      </c>
      <c r="B45" t="s">
        <v>59</v>
      </c>
      <c r="D45">
        <v>277</v>
      </c>
      <c r="H45" t="s">
        <v>11</v>
      </c>
      <c r="I45" t="s">
        <v>11</v>
      </c>
      <c r="M45" t="s">
        <v>11</v>
      </c>
    </row>
    <row r="46" spans="1:14" x14ac:dyDescent="0.2">
      <c r="A46">
        <v>194</v>
      </c>
      <c r="B46" t="s">
        <v>60</v>
      </c>
      <c r="D46">
        <v>1708</v>
      </c>
    </row>
    <row r="62" spans="7:15" x14ac:dyDescent="0.2">
      <c r="G62" s="1"/>
      <c r="H62" s="1"/>
      <c r="I62" s="1"/>
      <c r="J62" s="1"/>
      <c r="K62" s="1"/>
      <c r="L62" s="1"/>
      <c r="M62" s="1"/>
      <c r="N62" s="1"/>
      <c r="O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93AE-0613-FF49-AEF2-84AD3D0B1DD3}">
  <dimension ref="A1:O61"/>
  <sheetViews>
    <sheetView tabSelected="1" topLeftCell="A30" zoomScale="110" zoomScaleNormal="110" workbookViewId="0">
      <selection activeCell="C54" sqref="C54:C60"/>
    </sheetView>
  </sheetViews>
  <sheetFormatPr baseColWidth="10" defaultRowHeight="16" x14ac:dyDescent="0.2"/>
  <cols>
    <col min="3" max="3" width="17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">
      <c r="A2">
        <v>143</v>
      </c>
      <c r="B2" t="s">
        <v>16</v>
      </c>
      <c r="C2" t="s">
        <v>63</v>
      </c>
      <c r="D2">
        <v>274</v>
      </c>
    </row>
    <row r="3" spans="1:15" x14ac:dyDescent="0.2">
      <c r="A3">
        <v>147</v>
      </c>
      <c r="B3" t="s">
        <v>19</v>
      </c>
      <c r="C3" t="s">
        <v>63</v>
      </c>
      <c r="D3">
        <v>1218</v>
      </c>
    </row>
    <row r="4" spans="1:15" x14ac:dyDescent="0.2">
      <c r="A4">
        <v>149</v>
      </c>
      <c r="B4" t="s">
        <v>20</v>
      </c>
      <c r="C4" t="s">
        <v>63</v>
      </c>
      <c r="D4">
        <v>20</v>
      </c>
    </row>
    <row r="5" spans="1:15" x14ac:dyDescent="0.2">
      <c r="A5">
        <v>150</v>
      </c>
      <c r="B5" t="s">
        <v>21</v>
      </c>
      <c r="C5" t="s">
        <v>63</v>
      </c>
      <c r="D5">
        <v>197</v>
      </c>
    </row>
    <row r="6" spans="1:15" x14ac:dyDescent="0.2">
      <c r="A6">
        <v>156</v>
      </c>
      <c r="B6" t="s">
        <v>26</v>
      </c>
      <c r="C6" t="s">
        <v>63</v>
      </c>
      <c r="D6">
        <v>56</v>
      </c>
      <c r="G6" s="1"/>
      <c r="H6" s="1"/>
      <c r="I6" s="1"/>
      <c r="J6" s="1"/>
      <c r="K6" s="1"/>
      <c r="L6" s="1"/>
      <c r="M6" s="1"/>
    </row>
    <row r="7" spans="1:15" x14ac:dyDescent="0.2">
      <c r="A7">
        <v>157</v>
      </c>
      <c r="B7" t="s">
        <v>27</v>
      </c>
      <c r="C7" t="s">
        <v>63</v>
      </c>
      <c r="D7">
        <v>551</v>
      </c>
    </row>
    <row r="8" spans="1:15" x14ac:dyDescent="0.2">
      <c r="A8">
        <v>162</v>
      </c>
      <c r="B8" t="s">
        <v>30</v>
      </c>
      <c r="C8" t="s">
        <v>63</v>
      </c>
      <c r="D8">
        <v>112</v>
      </c>
    </row>
    <row r="9" spans="1:15" x14ac:dyDescent="0.2">
      <c r="A9">
        <v>164</v>
      </c>
      <c r="B9" t="s">
        <v>32</v>
      </c>
      <c r="C9" t="s">
        <v>63</v>
      </c>
      <c r="D9">
        <v>645</v>
      </c>
    </row>
    <row r="10" spans="1:15" x14ac:dyDescent="0.2">
      <c r="D10">
        <f>SUM(D2:D9)</f>
        <v>3073</v>
      </c>
    </row>
    <row r="12" spans="1:15" x14ac:dyDescent="0.2">
      <c r="A12">
        <v>168</v>
      </c>
      <c r="B12" t="s">
        <v>34</v>
      </c>
      <c r="C12" t="s">
        <v>64</v>
      </c>
      <c r="D12">
        <v>28</v>
      </c>
    </row>
    <row r="13" spans="1:15" x14ac:dyDescent="0.2">
      <c r="A13">
        <v>174</v>
      </c>
      <c r="B13" t="s">
        <v>40</v>
      </c>
      <c r="C13" t="s">
        <v>64</v>
      </c>
      <c r="D13">
        <v>115</v>
      </c>
    </row>
    <row r="14" spans="1:15" x14ac:dyDescent="0.2">
      <c r="A14">
        <v>175</v>
      </c>
      <c r="B14" t="s">
        <v>41</v>
      </c>
      <c r="C14" t="s">
        <v>64</v>
      </c>
      <c r="D14">
        <v>77</v>
      </c>
    </row>
    <row r="15" spans="1:15" x14ac:dyDescent="0.2">
      <c r="A15">
        <v>177</v>
      </c>
      <c r="B15" t="s">
        <v>43</v>
      </c>
      <c r="C15" t="s">
        <v>64</v>
      </c>
      <c r="D15">
        <v>19</v>
      </c>
    </row>
    <row r="16" spans="1:15" x14ac:dyDescent="0.2">
      <c r="A16">
        <v>183</v>
      </c>
      <c r="B16" t="s">
        <v>49</v>
      </c>
      <c r="C16" t="s">
        <v>64</v>
      </c>
      <c r="D16">
        <v>6</v>
      </c>
    </row>
    <row r="17" spans="1:13" x14ac:dyDescent="0.2">
      <c r="A17">
        <v>187</v>
      </c>
      <c r="B17" t="s">
        <v>53</v>
      </c>
      <c r="C17" t="s">
        <v>64</v>
      </c>
      <c r="D17">
        <v>114</v>
      </c>
    </row>
    <row r="18" spans="1:13" x14ac:dyDescent="0.2">
      <c r="A18">
        <v>189</v>
      </c>
      <c r="B18" t="s">
        <v>55</v>
      </c>
      <c r="C18" t="s">
        <v>64</v>
      </c>
      <c r="D18">
        <v>343</v>
      </c>
    </row>
    <row r="19" spans="1:13" x14ac:dyDescent="0.2">
      <c r="A19">
        <v>191</v>
      </c>
      <c r="B19" t="s">
        <v>57</v>
      </c>
      <c r="C19" t="s">
        <v>64</v>
      </c>
      <c r="D19">
        <v>817</v>
      </c>
    </row>
    <row r="20" spans="1:13" x14ac:dyDescent="0.2">
      <c r="A20">
        <v>194</v>
      </c>
      <c r="B20" t="s">
        <v>60</v>
      </c>
      <c r="C20" t="s">
        <v>64</v>
      </c>
      <c r="D20">
        <v>1708</v>
      </c>
    </row>
    <row r="21" spans="1:13" x14ac:dyDescent="0.2">
      <c r="D21">
        <f>SUM(D12:D20)</f>
        <v>3227</v>
      </c>
    </row>
    <row r="23" spans="1:13" x14ac:dyDescent="0.2">
      <c r="A23">
        <v>144</v>
      </c>
      <c r="B23" t="s">
        <v>17</v>
      </c>
      <c r="C23" t="s">
        <v>65</v>
      </c>
      <c r="D23">
        <v>691</v>
      </c>
      <c r="M23" t="s">
        <v>61</v>
      </c>
    </row>
    <row r="24" spans="1:13" x14ac:dyDescent="0.2">
      <c r="A24">
        <v>145</v>
      </c>
      <c r="B24" t="s">
        <v>18</v>
      </c>
      <c r="C24" t="s">
        <v>65</v>
      </c>
      <c r="D24">
        <v>689</v>
      </c>
      <c r="M24" t="s">
        <v>61</v>
      </c>
    </row>
    <row r="25" spans="1:13" x14ac:dyDescent="0.2">
      <c r="A25">
        <v>151</v>
      </c>
      <c r="B25" t="s">
        <v>22</v>
      </c>
      <c r="C25" t="s">
        <v>65</v>
      </c>
      <c r="D25">
        <v>39</v>
      </c>
      <c r="M25" t="s">
        <v>61</v>
      </c>
    </row>
    <row r="26" spans="1:13" x14ac:dyDescent="0.2">
      <c r="A26">
        <v>152</v>
      </c>
      <c r="B26" t="s">
        <v>23</v>
      </c>
      <c r="C26" t="s">
        <v>65</v>
      </c>
      <c r="D26">
        <v>911</v>
      </c>
      <c r="M26" t="s">
        <v>61</v>
      </c>
    </row>
    <row r="27" spans="1:13" x14ac:dyDescent="0.2">
      <c r="A27">
        <v>153</v>
      </c>
      <c r="B27" t="s">
        <v>24</v>
      </c>
      <c r="C27" t="s">
        <v>65</v>
      </c>
      <c r="D27">
        <v>16</v>
      </c>
      <c r="M27" t="s">
        <v>61</v>
      </c>
    </row>
    <row r="28" spans="1:13" x14ac:dyDescent="0.2">
      <c r="A28">
        <v>154</v>
      </c>
      <c r="B28" t="s">
        <v>25</v>
      </c>
      <c r="C28" t="s">
        <v>65</v>
      </c>
      <c r="D28">
        <v>699</v>
      </c>
      <c r="M28" t="s">
        <v>61</v>
      </c>
    </row>
    <row r="29" spans="1:13" x14ac:dyDescent="0.2">
      <c r="D29">
        <f>SUM(D23:D28)</f>
        <v>3045</v>
      </c>
    </row>
    <row r="31" spans="1:13" x14ac:dyDescent="0.2">
      <c r="A31">
        <v>171</v>
      </c>
      <c r="B31" t="s">
        <v>37</v>
      </c>
      <c r="C31" t="s">
        <v>66</v>
      </c>
      <c r="D31">
        <v>72</v>
      </c>
      <c r="M31" t="s">
        <v>61</v>
      </c>
    </row>
    <row r="32" spans="1:13" x14ac:dyDescent="0.2">
      <c r="A32">
        <v>172</v>
      </c>
      <c r="B32" t="s">
        <v>38</v>
      </c>
      <c r="C32" t="s">
        <v>66</v>
      </c>
      <c r="D32">
        <v>54</v>
      </c>
      <c r="M32" t="s">
        <v>61</v>
      </c>
    </row>
    <row r="33" spans="1:13" x14ac:dyDescent="0.2">
      <c r="A33">
        <v>180</v>
      </c>
      <c r="B33" t="s">
        <v>46</v>
      </c>
      <c r="C33" t="s">
        <v>66</v>
      </c>
      <c r="D33">
        <v>101</v>
      </c>
      <c r="M33" t="s">
        <v>61</v>
      </c>
    </row>
    <row r="34" spans="1:13" x14ac:dyDescent="0.2">
      <c r="A34">
        <v>181</v>
      </c>
      <c r="B34" t="s">
        <v>47</v>
      </c>
      <c r="C34" t="s">
        <v>66</v>
      </c>
      <c r="D34">
        <v>54</v>
      </c>
      <c r="M34" t="s">
        <v>61</v>
      </c>
    </row>
    <row r="35" spans="1:13" x14ac:dyDescent="0.2">
      <c r="D35">
        <f>SUM(D32:D34)</f>
        <v>209</v>
      </c>
    </row>
    <row r="37" spans="1:13" x14ac:dyDescent="0.2">
      <c r="A37">
        <v>173</v>
      </c>
      <c r="B37" t="s">
        <v>39</v>
      </c>
      <c r="C37" t="s">
        <v>67</v>
      </c>
      <c r="D37">
        <v>914</v>
      </c>
      <c r="M37" t="s">
        <v>11</v>
      </c>
    </row>
    <row r="38" spans="1:13" x14ac:dyDescent="0.2">
      <c r="A38">
        <v>176</v>
      </c>
      <c r="B38" t="s">
        <v>42</v>
      </c>
      <c r="C38" t="s">
        <v>67</v>
      </c>
      <c r="D38">
        <v>1461</v>
      </c>
      <c r="M38" t="s">
        <v>11</v>
      </c>
    </row>
    <row r="39" spans="1:13" x14ac:dyDescent="0.2">
      <c r="A39">
        <v>182</v>
      </c>
      <c r="B39" t="s">
        <v>48</v>
      </c>
      <c r="C39" t="s">
        <v>67</v>
      </c>
      <c r="D39">
        <v>174</v>
      </c>
      <c r="M39" t="s">
        <v>11</v>
      </c>
    </row>
    <row r="40" spans="1:13" x14ac:dyDescent="0.2">
      <c r="D40">
        <f>SUM(D37:D39)</f>
        <v>2549</v>
      </c>
    </row>
    <row r="42" spans="1:13" x14ac:dyDescent="0.2">
      <c r="A42">
        <v>169</v>
      </c>
      <c r="B42" t="s">
        <v>35</v>
      </c>
      <c r="C42" t="s">
        <v>68</v>
      </c>
      <c r="D42">
        <v>586</v>
      </c>
      <c r="M42" t="s">
        <v>62</v>
      </c>
    </row>
    <row r="43" spans="1:13" x14ac:dyDescent="0.2">
      <c r="A43">
        <v>170</v>
      </c>
      <c r="B43" t="s">
        <v>36</v>
      </c>
      <c r="C43" t="s">
        <v>68</v>
      </c>
      <c r="D43">
        <v>552</v>
      </c>
      <c r="M43" t="s">
        <v>62</v>
      </c>
    </row>
    <row r="44" spans="1:13" x14ac:dyDescent="0.2">
      <c r="A44">
        <v>178</v>
      </c>
      <c r="B44" t="s">
        <v>44</v>
      </c>
      <c r="C44" t="s">
        <v>68</v>
      </c>
      <c r="D44">
        <v>230</v>
      </c>
      <c r="M44" t="s">
        <v>62</v>
      </c>
    </row>
    <row r="45" spans="1:13" x14ac:dyDescent="0.2">
      <c r="A45">
        <v>179</v>
      </c>
      <c r="B45" t="s">
        <v>45</v>
      </c>
      <c r="C45" t="s">
        <v>68</v>
      </c>
      <c r="D45">
        <v>202</v>
      </c>
      <c r="M45" t="s">
        <v>62</v>
      </c>
    </row>
    <row r="46" spans="1:13" x14ac:dyDescent="0.2">
      <c r="D46">
        <f>SUM(D42:D45)</f>
        <v>1570</v>
      </c>
    </row>
    <row r="48" spans="1:13" x14ac:dyDescent="0.2">
      <c r="A48">
        <v>158</v>
      </c>
      <c r="B48" t="s">
        <v>28</v>
      </c>
      <c r="C48" t="s">
        <v>69</v>
      </c>
      <c r="D48">
        <v>102</v>
      </c>
      <c r="H48" t="s">
        <v>11</v>
      </c>
      <c r="I48" t="s">
        <v>11</v>
      </c>
      <c r="M48" t="s">
        <v>11</v>
      </c>
    </row>
    <row r="49" spans="1:14" x14ac:dyDescent="0.2">
      <c r="A49">
        <v>159</v>
      </c>
      <c r="B49" t="s">
        <v>29</v>
      </c>
      <c r="C49" t="s">
        <v>69</v>
      </c>
      <c r="D49">
        <v>402</v>
      </c>
      <c r="M49" t="s">
        <v>11</v>
      </c>
      <c r="N49" t="s">
        <v>11</v>
      </c>
    </row>
    <row r="50" spans="1:14" x14ac:dyDescent="0.2">
      <c r="A50">
        <v>163</v>
      </c>
      <c r="B50" t="s">
        <v>31</v>
      </c>
      <c r="C50" t="s">
        <v>69</v>
      </c>
      <c r="D50">
        <v>459</v>
      </c>
      <c r="M50" t="s">
        <v>11</v>
      </c>
      <c r="N50" t="s">
        <v>11</v>
      </c>
    </row>
    <row r="51" spans="1:14" x14ac:dyDescent="0.2">
      <c r="A51">
        <v>165</v>
      </c>
      <c r="B51" t="s">
        <v>33</v>
      </c>
      <c r="C51" t="s">
        <v>69</v>
      </c>
      <c r="D51">
        <v>676</v>
      </c>
      <c r="H51" t="s">
        <v>11</v>
      </c>
      <c r="I51" t="s">
        <v>11</v>
      </c>
      <c r="M51" t="s">
        <v>11</v>
      </c>
    </row>
    <row r="52" spans="1:14" x14ac:dyDescent="0.2">
      <c r="D52">
        <f>SUM(D48:D51)</f>
        <v>1639</v>
      </c>
    </row>
    <row r="54" spans="1:14" x14ac:dyDescent="0.2">
      <c r="A54">
        <v>184</v>
      </c>
      <c r="B54" t="s">
        <v>50</v>
      </c>
      <c r="C54" t="s">
        <v>70</v>
      </c>
      <c r="D54">
        <v>15</v>
      </c>
      <c r="H54" t="s">
        <v>11</v>
      </c>
      <c r="I54" t="s">
        <v>11</v>
      </c>
      <c r="M54" t="s">
        <v>11</v>
      </c>
      <c r="N54" t="s">
        <v>11</v>
      </c>
    </row>
    <row r="55" spans="1:14" x14ac:dyDescent="0.2">
      <c r="A55">
        <v>185</v>
      </c>
      <c r="B55" t="s">
        <v>51</v>
      </c>
      <c r="C55" t="s">
        <v>70</v>
      </c>
      <c r="D55">
        <v>96</v>
      </c>
      <c r="H55" t="s">
        <v>11</v>
      </c>
      <c r="I55" t="s">
        <v>11</v>
      </c>
      <c r="M55" t="s">
        <v>11</v>
      </c>
    </row>
    <row r="56" spans="1:14" x14ac:dyDescent="0.2">
      <c r="A56">
        <v>186</v>
      </c>
      <c r="B56" t="s">
        <v>52</v>
      </c>
      <c r="C56" t="s">
        <v>70</v>
      </c>
      <c r="D56">
        <v>488</v>
      </c>
      <c r="M56" t="s">
        <v>11</v>
      </c>
      <c r="N56" t="s">
        <v>11</v>
      </c>
    </row>
    <row r="57" spans="1:14" x14ac:dyDescent="0.2">
      <c r="A57">
        <v>188</v>
      </c>
      <c r="B57" t="s">
        <v>54</v>
      </c>
      <c r="C57" t="s">
        <v>70</v>
      </c>
      <c r="D57">
        <v>41</v>
      </c>
      <c r="H57" t="s">
        <v>11</v>
      </c>
      <c r="I57" t="s">
        <v>11</v>
      </c>
      <c r="M57" t="s">
        <v>11</v>
      </c>
    </row>
    <row r="58" spans="1:14" x14ac:dyDescent="0.2">
      <c r="A58">
        <v>190</v>
      </c>
      <c r="B58" t="s">
        <v>56</v>
      </c>
      <c r="C58" t="s">
        <v>70</v>
      </c>
      <c r="D58">
        <v>244</v>
      </c>
      <c r="M58" t="s">
        <v>11</v>
      </c>
      <c r="N58" t="s">
        <v>11</v>
      </c>
    </row>
    <row r="59" spans="1:14" x14ac:dyDescent="0.2">
      <c r="A59">
        <v>192</v>
      </c>
      <c r="B59" t="s">
        <v>58</v>
      </c>
      <c r="C59" t="s">
        <v>70</v>
      </c>
      <c r="D59">
        <v>120</v>
      </c>
      <c r="H59" t="s">
        <v>11</v>
      </c>
      <c r="I59" t="s">
        <v>11</v>
      </c>
      <c r="M59" t="s">
        <v>11</v>
      </c>
      <c r="N59" t="s">
        <v>11</v>
      </c>
    </row>
    <row r="60" spans="1:14" x14ac:dyDescent="0.2">
      <c r="A60">
        <v>193</v>
      </c>
      <c r="B60" t="s">
        <v>59</v>
      </c>
      <c r="C60" t="s">
        <v>70</v>
      </c>
      <c r="D60">
        <v>277</v>
      </c>
      <c r="H60" t="s">
        <v>11</v>
      </c>
      <c r="I60" t="s">
        <v>11</v>
      </c>
      <c r="M60" t="s">
        <v>11</v>
      </c>
    </row>
    <row r="61" spans="1:14" x14ac:dyDescent="0.2">
      <c r="D61">
        <f>SUM(D54:D60)</f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Groups 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2024-02-26T14:09:36Z</dcterms:created>
  <dcterms:modified xsi:type="dcterms:W3CDTF">2024-03-27T20:52:25Z</dcterms:modified>
</cp:coreProperties>
</file>