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92522DAD-A37B-A64C-BA15-2C44E1363BB2}" xr6:coauthVersionLast="40" xr6:coauthVersionMax="40" xr10:uidLastSave="{00000000-0000-0000-0000-000000000000}"/>
  <bookViews>
    <workbookView xWindow="2000" yWindow="1780" windowWidth="22980" windowHeight="17000" activeTab="4" xr2:uid="{7928E02C-29DC-574B-8667-D82DDE3DF551}"/>
  </bookViews>
  <sheets>
    <sheet name="Template" sheetId="1" r:id="rId1"/>
    <sheet name="Groups V0" sheetId="2" r:id="rId2"/>
    <sheet name="Groups V1" sheetId="3" r:id="rId3"/>
    <sheet name="Groups V2" sheetId="4" r:id="rId4"/>
    <sheet name="groups_v3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5" l="1"/>
  <c r="H21" i="5"/>
  <c r="F21" i="5"/>
  <c r="H12" i="5"/>
  <c r="G12" i="5"/>
  <c r="F12" i="5"/>
  <c r="G7" i="5"/>
  <c r="H7" i="5"/>
  <c r="F7" i="5"/>
  <c r="G17" i="5"/>
  <c r="H17" i="5"/>
  <c r="F17" i="5"/>
  <c r="E3" i="5" l="1"/>
  <c r="E4" i="5"/>
  <c r="E5" i="5"/>
  <c r="E6" i="5"/>
  <c r="E2" i="5"/>
  <c r="E20" i="5"/>
  <c r="E19" i="5"/>
  <c r="E16" i="5"/>
  <c r="E15" i="5"/>
  <c r="E14" i="5"/>
  <c r="E11" i="5"/>
  <c r="E10" i="5"/>
  <c r="E9" i="5"/>
  <c r="G7" i="4" l="1"/>
  <c r="H7" i="4"/>
  <c r="I7" i="4"/>
  <c r="J7" i="4"/>
  <c r="K7" i="4"/>
  <c r="F7" i="4"/>
  <c r="G21" i="4"/>
  <c r="H21" i="4"/>
  <c r="I21" i="4"/>
  <c r="J21" i="4"/>
  <c r="K21" i="4"/>
  <c r="F21" i="4"/>
  <c r="K17" i="4"/>
  <c r="J17" i="4"/>
  <c r="I17" i="4"/>
  <c r="H17" i="4"/>
  <c r="G17" i="4"/>
  <c r="F17" i="4"/>
  <c r="G12" i="4"/>
  <c r="H12" i="4"/>
  <c r="I12" i="4"/>
  <c r="J12" i="4"/>
  <c r="K12" i="4"/>
  <c r="F12" i="4"/>
  <c r="E20" i="4"/>
  <c r="E19" i="4"/>
  <c r="E15" i="4"/>
  <c r="E16" i="4"/>
  <c r="E14" i="4"/>
  <c r="E10" i="4"/>
  <c r="E11" i="4"/>
  <c r="E9" i="4"/>
</calcChain>
</file>

<file path=xl/sharedStrings.xml><?xml version="1.0" encoding="utf-8"?>
<sst xmlns="http://schemas.openxmlformats.org/spreadsheetml/2006/main" count="2045" uniqueCount="201">
  <si>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</si>
  <si>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</si>
  <si>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</si>
  <si>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</si>
  <si>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</si>
  <si>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</si>
  <si>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</si>
  <si>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</si>
  <si>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</si>
  <si>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</si>
  <si>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</si>
  <si>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</si>
  <si>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</si>
  <si>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</si>
  <si>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</si>
  <si>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</si>
  <si>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</si>
  <si>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</si>
  <si>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</si>
  <si>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</si>
  <si>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</si>
  <si>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</si>
  <si>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</si>
  <si>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</si>
  <si>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</si>
  <si>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</si>
  <si>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</si>
  <si>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</si>
  <si>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</si>
  <si>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</si>
  <si>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</si>
  <si>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</si>
  <si>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</si>
  <si>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</si>
  <si>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</si>
  <si>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</si>
  <si>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</si>
  <si>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</si>
  <si>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</si>
  <si>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</si>
  <si>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</si>
  <si>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</si>
  <si>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</si>
  <si>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</si>
  <si>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</si>
  <si>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</si>
  <si>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</si>
  <si>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</si>
  <si>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</si>
  <si>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</si>
  <si>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</si>
  <si>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</si>
  <si>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</si>
  <si>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</si>
  <si>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</si>
  <si>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</si>
  <si>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</si>
  <si>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</si>
  <si>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</si>
  <si>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</si>
  <si>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</si>
  <si>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</si>
  <si>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</si>
  <si>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</si>
  <si>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</si>
  <si>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</si>
  <si>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</si>
  <si>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</si>
  <si>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</si>
  <si>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</si>
  <si>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</si>
  <si>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</si>
  <si>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</si>
  <si>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</si>
  <si>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</si>
  <si>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</si>
  <si>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</si>
  <si>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</si>
  <si>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</si>
  <si>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</si>
  <si>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</si>
  <si>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</si>
  <si>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</si>
  <si>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</si>
  <si>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</si>
  <si>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</si>
  <si>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</si>
  <si>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</si>
  <si>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</si>
  <si>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</si>
  <si>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</si>
  <si>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</si>
  <si>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</si>
  <si>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</si>
  <si>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</si>
  <si>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</si>
  <si>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</si>
  <si>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</si>
  <si>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</si>
  <si>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</si>
  <si>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</si>
  <si>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</si>
  <si>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</si>
  <si>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</si>
  <si>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</si>
  <si>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</si>
  <si>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</si>
  <si>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</si>
  <si>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</si>
  <si>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</si>
  <si>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</si>
  <si>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</si>
  <si>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</si>
  <si>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</si>
  <si>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</si>
  <si>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</si>
  <si>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</si>
  <si>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</si>
  <si>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</si>
  <si>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</si>
  <si>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</si>
  <si>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</si>
  <si>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</si>
  <si>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</si>
  <si>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</si>
  <si>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</si>
  <si>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</si>
  <si>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</si>
  <si>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</si>
  <si>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</si>
  <si>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</si>
  <si>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</si>
  <si>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</si>
  <si>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</si>
  <si>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</si>
  <si>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</si>
  <si>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</si>
  <si>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</si>
  <si>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</si>
  <si>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</si>
  <si>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</si>
  <si>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</si>
  <si>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</si>
  <si>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</si>
  <si>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</si>
  <si>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</si>
  <si>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</si>
  <si>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</si>
  <si>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</si>
  <si>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</si>
  <si>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</si>
  <si>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</si>
  <si>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</si>
  <si>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</si>
  <si>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</si>
  <si>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</si>
  <si>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</si>
  <si>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</si>
  <si>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</si>
  <si>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</si>
  <si>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</si>
  <si>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</si>
  <si>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</si>
  <si>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</si>
  <si>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monoclinic_0_00</t>
  </si>
  <si>
    <t>monoclinic_0_01</t>
  </si>
  <si>
    <t>monoclinic_0_02</t>
  </si>
  <si>
    <t>monoclinic_0_03</t>
  </si>
  <si>
    <t>monoclinic_0_04</t>
  </si>
  <si>
    <t>monoclinic_1_00</t>
  </si>
  <si>
    <t>monoclinic_1_01</t>
  </si>
  <si>
    <t>monoclinic_1_02</t>
  </si>
  <si>
    <t>monoclinic_1_03</t>
  </si>
  <si>
    <t>monoclinic_1_04</t>
  </si>
  <si>
    <t>monoclinic_2_00</t>
  </si>
  <si>
    <t>monoclinic_2_01</t>
  </si>
  <si>
    <t>monoclinic_2_02</t>
  </si>
  <si>
    <t>monoclinic_2_03</t>
  </si>
  <si>
    <t>monoclinic_2_04</t>
  </si>
  <si>
    <t>C 1 c 1</t>
  </si>
  <si>
    <t>monoclinic_0_05</t>
  </si>
  <si>
    <t>monoclinic_0_06</t>
  </si>
  <si>
    <t>monoclinic_0_07</t>
  </si>
  <si>
    <t>monoclinic_1_05</t>
  </si>
  <si>
    <t>monoclinic_1_06</t>
  </si>
  <si>
    <t>monoclinic_1_07</t>
  </si>
  <si>
    <t>monoclinic_2_05</t>
  </si>
  <si>
    <t>monoclinic_2_06</t>
  </si>
  <si>
    <t>monoclinic_2_07</t>
  </si>
  <si>
    <t>abc</t>
  </si>
  <si>
    <t>acb</t>
  </si>
  <si>
    <t>cab</t>
  </si>
  <si>
    <t>cba</t>
  </si>
  <si>
    <t>bac</t>
  </si>
  <si>
    <t>bca</t>
  </si>
  <si>
    <t>monoclinic_00</t>
  </si>
  <si>
    <t>monoclinic_01</t>
  </si>
  <si>
    <t>monoclinic_02</t>
  </si>
  <si>
    <t>monoclinic_03</t>
  </si>
  <si>
    <t>total counts</t>
  </si>
  <si>
    <t>h + l = 2n; h, l = 2n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</si>
</sst>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179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525AC-850D-B244-AB53-A3DA79E8EC77}">
  <dimension ref="A1:L141"/>
  <sheetViews>
    <sheetView zoomScale="120" zoomScaleNormal="120" workbookViewId="0">
      <selection sqref="A1:XFD1048576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5" spans="1:12" x14ac:dyDescent="0.2">
      <c r="A15">
        <v>14</v>
      </c>
      <c r="B15" t="s">
        <v>48</v>
      </c>
      <c r="C15">
        <v>0</v>
      </c>
      <c r="D15" t="s">
        <v>165</v>
      </c>
      <c r="E15">
        <v>1783</v>
      </c>
      <c r="H15" t="s">
        <v>148</v>
      </c>
      <c r="J15" t="s">
        <v>148</v>
      </c>
      <c r="K15" t="s">
        <v>146</v>
      </c>
    </row>
    <row r="17" spans="1:12" x14ac:dyDescent="0.2">
      <c r="A17">
        <v>5</v>
      </c>
      <c r="B17" t="s">
        <v>16</v>
      </c>
      <c r="C17">
        <v>0</v>
      </c>
      <c r="D17" s="1" t="s">
        <v>166</v>
      </c>
      <c r="E17">
        <v>7</v>
      </c>
      <c r="F17" t="s">
        <v>154</v>
      </c>
      <c r="G17" t="s">
        <v>154</v>
      </c>
      <c r="H17" t="s">
        <v>147</v>
      </c>
      <c r="I17" t="s">
        <v>146</v>
      </c>
      <c r="K17" t="s">
        <v>146</v>
      </c>
      <c r="L17" t="s">
        <v>147</v>
      </c>
    </row>
    <row r="18" spans="1:12" x14ac:dyDescent="0.2">
      <c r="A18">
        <v>8</v>
      </c>
      <c r="B18" t="s">
        <v>28</v>
      </c>
      <c r="C18">
        <v>0</v>
      </c>
      <c r="D18" s="1" t="s">
        <v>166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12</v>
      </c>
      <c r="B19" t="s">
        <v>39</v>
      </c>
      <c r="C19">
        <v>0</v>
      </c>
      <c r="D19" s="1" t="s">
        <v>166</v>
      </c>
      <c r="E19">
        <v>20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14</v>
      </c>
      <c r="B20" t="s">
        <v>47</v>
      </c>
      <c r="C20">
        <v>0</v>
      </c>
      <c r="D20" s="1" t="s">
        <v>166</v>
      </c>
      <c r="E20">
        <v>4886</v>
      </c>
      <c r="H20" t="s">
        <v>147</v>
      </c>
      <c r="K20" t="s">
        <v>146</v>
      </c>
      <c r="L20" t="s">
        <v>147</v>
      </c>
    </row>
    <row r="22" spans="1:12" x14ac:dyDescent="0.2">
      <c r="A22">
        <v>7</v>
      </c>
      <c r="B22" t="s">
        <v>24</v>
      </c>
      <c r="C22">
        <v>0</v>
      </c>
      <c r="D22" s="1" t="s">
        <v>167</v>
      </c>
      <c r="E22">
        <v>616</v>
      </c>
      <c r="H22" t="s">
        <v>149</v>
      </c>
      <c r="J22" t="s">
        <v>148</v>
      </c>
      <c r="L22" t="s">
        <v>147</v>
      </c>
    </row>
    <row r="23" spans="1:12" x14ac:dyDescent="0.2">
      <c r="A23">
        <v>13</v>
      </c>
      <c r="B23" t="s">
        <v>44</v>
      </c>
      <c r="C23">
        <v>0</v>
      </c>
      <c r="D23" s="1" t="s">
        <v>167</v>
      </c>
      <c r="E23">
        <v>509</v>
      </c>
      <c r="H23" t="s">
        <v>149</v>
      </c>
      <c r="J23" t="s">
        <v>148</v>
      </c>
      <c r="L23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168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179</v>
      </c>
      <c r="C27">
        <v>0</v>
      </c>
      <c r="D27" s="1" t="s">
        <v>168</v>
      </c>
      <c r="E27">
        <v>2123</v>
      </c>
      <c r="F27" t="s">
        <v>155</v>
      </c>
      <c r="G27" t="s">
        <v>146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9</v>
      </c>
      <c r="B28" t="s">
        <v>31</v>
      </c>
      <c r="C28">
        <v>0</v>
      </c>
      <c r="D28" s="1" t="s">
        <v>168</v>
      </c>
      <c r="E28">
        <v>16</v>
      </c>
      <c r="F28" t="s">
        <v>154</v>
      </c>
      <c r="G28" t="s">
        <v>154</v>
      </c>
      <c r="H28" t="s">
        <v>150</v>
      </c>
      <c r="I28" t="s">
        <v>146</v>
      </c>
      <c r="J28" t="s">
        <v>148</v>
      </c>
      <c r="K28" t="s">
        <v>146</v>
      </c>
      <c r="L28" t="s">
        <v>147</v>
      </c>
    </row>
    <row r="29" spans="1:12" x14ac:dyDescent="0.2">
      <c r="A29">
        <v>9</v>
      </c>
      <c r="B29" t="s">
        <v>32</v>
      </c>
      <c r="C29">
        <v>0</v>
      </c>
      <c r="D29" s="1" t="s">
        <v>168</v>
      </c>
      <c r="E29">
        <v>51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12</v>
      </c>
      <c r="B30" t="s">
        <v>40</v>
      </c>
      <c r="C30">
        <v>0</v>
      </c>
      <c r="D30" s="1" t="s">
        <v>168</v>
      </c>
      <c r="E30">
        <v>109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A31">
        <v>14</v>
      </c>
      <c r="B31" t="s">
        <v>49</v>
      </c>
      <c r="C31">
        <v>0</v>
      </c>
      <c r="D31" s="1" t="s">
        <v>168</v>
      </c>
      <c r="E31">
        <v>4894</v>
      </c>
      <c r="H31" t="s">
        <v>149</v>
      </c>
      <c r="J31" t="s">
        <v>148</v>
      </c>
      <c r="K31" t="s">
        <v>146</v>
      </c>
      <c r="L31" t="s">
        <v>147</v>
      </c>
    </row>
    <row r="32" spans="1:12" x14ac:dyDescent="0.2">
      <c r="A32">
        <v>15</v>
      </c>
      <c r="B32" t="s">
        <v>52</v>
      </c>
      <c r="C32">
        <v>0</v>
      </c>
      <c r="D32" s="1" t="s">
        <v>168</v>
      </c>
      <c r="E32">
        <v>4909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15</v>
      </c>
      <c r="B33" t="s">
        <v>53</v>
      </c>
      <c r="C33">
        <v>0</v>
      </c>
      <c r="D33" s="1" t="s">
        <v>168</v>
      </c>
      <c r="E33">
        <v>57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54</v>
      </c>
      <c r="C34">
        <v>0</v>
      </c>
      <c r="D34" s="1" t="s">
        <v>168</v>
      </c>
      <c r="E34">
        <v>470</v>
      </c>
      <c r="F34" t="s">
        <v>156</v>
      </c>
      <c r="G34" t="s">
        <v>154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5</v>
      </c>
      <c r="B35" t="s">
        <v>18</v>
      </c>
      <c r="C35">
        <v>0</v>
      </c>
      <c r="D35" s="1" t="s">
        <v>168</v>
      </c>
      <c r="E35">
        <v>72</v>
      </c>
      <c r="F35" t="s">
        <v>156</v>
      </c>
      <c r="G35" t="s">
        <v>154</v>
      </c>
      <c r="H35" t="s">
        <v>149</v>
      </c>
      <c r="I35" t="s">
        <v>155</v>
      </c>
      <c r="J35" t="s">
        <v>148</v>
      </c>
      <c r="K35" t="s">
        <v>146</v>
      </c>
      <c r="L35" t="s">
        <v>147</v>
      </c>
    </row>
    <row r="38" spans="1:12" x14ac:dyDescent="0.2">
      <c r="A38">
        <v>3</v>
      </c>
      <c r="B38" t="s">
        <v>56</v>
      </c>
      <c r="C38">
        <v>1</v>
      </c>
      <c r="D38" s="1" t="s">
        <v>169</v>
      </c>
      <c r="E38">
        <v>10</v>
      </c>
    </row>
    <row r="39" spans="1:12" x14ac:dyDescent="0.2">
      <c r="A39">
        <v>6</v>
      </c>
      <c r="B39" t="s">
        <v>64</v>
      </c>
      <c r="C39">
        <v>1</v>
      </c>
      <c r="D39" s="1" t="s">
        <v>169</v>
      </c>
      <c r="E39">
        <v>24</v>
      </c>
    </row>
    <row r="40" spans="1:12" x14ac:dyDescent="0.2">
      <c r="A40">
        <v>10</v>
      </c>
      <c r="B40" t="s">
        <v>79</v>
      </c>
      <c r="C40">
        <v>1</v>
      </c>
      <c r="D40" s="1" t="s">
        <v>169</v>
      </c>
      <c r="E40">
        <v>42</v>
      </c>
    </row>
    <row r="41" spans="1:12" x14ac:dyDescent="0.2">
      <c r="A41">
        <v>7</v>
      </c>
      <c r="B41" t="s">
        <v>66</v>
      </c>
      <c r="C41">
        <v>1</v>
      </c>
      <c r="D41" s="1" t="s">
        <v>169</v>
      </c>
      <c r="E41">
        <v>634</v>
      </c>
      <c r="I41" t="s">
        <v>148</v>
      </c>
      <c r="J41" t="s">
        <v>148</v>
      </c>
    </row>
    <row r="42" spans="1:12" x14ac:dyDescent="0.2">
      <c r="A42">
        <v>13</v>
      </c>
      <c r="B42" t="s">
        <v>92</v>
      </c>
      <c r="C42">
        <v>1</v>
      </c>
      <c r="D42" s="1" t="s">
        <v>169</v>
      </c>
      <c r="E42">
        <v>213</v>
      </c>
      <c r="I42" t="s">
        <v>148</v>
      </c>
      <c r="J42" t="s">
        <v>148</v>
      </c>
    </row>
    <row r="43" spans="1:12" x14ac:dyDescent="0.2">
      <c r="A43">
        <v>7</v>
      </c>
      <c r="B43" t="s">
        <v>67</v>
      </c>
      <c r="C43">
        <v>1</v>
      </c>
      <c r="D43" s="1" t="s">
        <v>169</v>
      </c>
      <c r="E43">
        <v>24</v>
      </c>
      <c r="I43" t="s">
        <v>146</v>
      </c>
      <c r="K43" t="s">
        <v>146</v>
      </c>
    </row>
    <row r="44" spans="1:12" x14ac:dyDescent="0.2">
      <c r="A44">
        <v>13</v>
      </c>
      <c r="B44" t="s">
        <v>93</v>
      </c>
      <c r="C44">
        <v>1</v>
      </c>
      <c r="D44" s="1" t="s">
        <v>169</v>
      </c>
      <c r="E44">
        <v>10</v>
      </c>
      <c r="I44" t="s">
        <v>146</v>
      </c>
      <c r="K44" t="s">
        <v>146</v>
      </c>
    </row>
    <row r="45" spans="1:12" x14ac:dyDescent="0.2">
      <c r="A45">
        <v>4</v>
      </c>
      <c r="B45" t="s">
        <v>58</v>
      </c>
      <c r="C45">
        <v>1</v>
      </c>
      <c r="D45" s="1" t="s">
        <v>169</v>
      </c>
      <c r="E45">
        <v>4853</v>
      </c>
      <c r="L45" t="s">
        <v>147</v>
      </c>
    </row>
    <row r="46" spans="1:12" x14ac:dyDescent="0.2">
      <c r="A46">
        <v>11</v>
      </c>
      <c r="B46" t="s">
        <v>81</v>
      </c>
      <c r="C46">
        <v>1</v>
      </c>
      <c r="D46" s="1" t="s">
        <v>169</v>
      </c>
      <c r="E46">
        <v>3162</v>
      </c>
      <c r="L46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3" spans="1:12" x14ac:dyDescent="0.2">
      <c r="A53">
        <v>5</v>
      </c>
      <c r="B53" t="s">
        <v>60</v>
      </c>
      <c r="C53">
        <v>1</v>
      </c>
      <c r="D53" s="1" t="s">
        <v>171</v>
      </c>
      <c r="E53">
        <v>403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8</v>
      </c>
      <c r="B54" t="s">
        <v>71</v>
      </c>
      <c r="C54">
        <v>1</v>
      </c>
      <c r="D54" s="1" t="s">
        <v>171</v>
      </c>
      <c r="E54">
        <v>228</v>
      </c>
      <c r="F54" t="s">
        <v>154</v>
      </c>
      <c r="G54" t="s">
        <v>154</v>
      </c>
      <c r="H54" t="s">
        <v>147</v>
      </c>
      <c r="I54" t="s">
        <v>146</v>
      </c>
      <c r="K54" t="s">
        <v>146</v>
      </c>
      <c r="L54" t="s">
        <v>147</v>
      </c>
    </row>
    <row r="55" spans="1:12" x14ac:dyDescent="0.2">
      <c r="A55">
        <v>12</v>
      </c>
      <c r="B55" t="s">
        <v>83</v>
      </c>
      <c r="C55">
        <v>1</v>
      </c>
      <c r="D55" s="1" t="s">
        <v>171</v>
      </c>
      <c r="E55">
        <v>1654</v>
      </c>
      <c r="F55" s="1" t="s">
        <v>154</v>
      </c>
      <c r="G55" s="1" t="s">
        <v>154</v>
      </c>
      <c r="H55" s="1" t="s">
        <v>147</v>
      </c>
      <c r="I55" s="1" t="s">
        <v>146</v>
      </c>
      <c r="J55" s="1"/>
      <c r="K55" s="1" t="s">
        <v>146</v>
      </c>
      <c r="L55" s="1" t="s">
        <v>147</v>
      </c>
    </row>
    <row r="56" spans="1:12" x14ac:dyDescent="0.2">
      <c r="A56">
        <v>12</v>
      </c>
      <c r="B56" t="s">
        <v>84</v>
      </c>
      <c r="C56">
        <v>1</v>
      </c>
      <c r="D56" s="1" t="s">
        <v>171</v>
      </c>
      <c r="E56">
        <v>7</v>
      </c>
      <c r="F56" t="s">
        <v>154</v>
      </c>
      <c r="G56" t="s">
        <v>154</v>
      </c>
      <c r="H56" t="s">
        <v>147</v>
      </c>
      <c r="I56" t="s">
        <v>146</v>
      </c>
      <c r="K56" t="s">
        <v>146</v>
      </c>
      <c r="L56" t="s">
        <v>147</v>
      </c>
    </row>
    <row r="57" spans="1:12" x14ac:dyDescent="0.2">
      <c r="A57">
        <v>14</v>
      </c>
      <c r="B57" t="s">
        <v>88</v>
      </c>
      <c r="C57">
        <v>1</v>
      </c>
      <c r="D57" s="1" t="s">
        <v>171</v>
      </c>
      <c r="E57">
        <v>2952</v>
      </c>
      <c r="I57" t="s">
        <v>146</v>
      </c>
      <c r="K57" t="s">
        <v>146</v>
      </c>
      <c r="L57" t="s">
        <v>147</v>
      </c>
    </row>
    <row r="60" spans="1:12" x14ac:dyDescent="0.2">
      <c r="A60">
        <v>5</v>
      </c>
      <c r="B60" t="s">
        <v>61</v>
      </c>
      <c r="C60">
        <v>1</v>
      </c>
      <c r="D60" s="1" t="s">
        <v>172</v>
      </c>
      <c r="E60">
        <v>3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ht="17" customHeight="1" x14ac:dyDescent="0.2">
      <c r="A61">
        <v>8</v>
      </c>
      <c r="B61" t="s">
        <v>72</v>
      </c>
      <c r="C61">
        <v>1</v>
      </c>
      <c r="D61" s="1" t="s">
        <v>172</v>
      </c>
      <c r="E61">
        <v>1</v>
      </c>
      <c r="F61" t="s">
        <v>149</v>
      </c>
      <c r="G61" t="s">
        <v>147</v>
      </c>
      <c r="H61" t="s">
        <v>149</v>
      </c>
      <c r="I61" t="s">
        <v>148</v>
      </c>
      <c r="J61" t="s">
        <v>148</v>
      </c>
      <c r="L61" t="s">
        <v>147</v>
      </c>
    </row>
    <row r="62" spans="1:12" x14ac:dyDescent="0.2">
      <c r="A62">
        <v>14</v>
      </c>
      <c r="B62" t="s">
        <v>87</v>
      </c>
      <c r="C62">
        <v>1</v>
      </c>
      <c r="D62" s="1" t="s">
        <v>172</v>
      </c>
      <c r="E62">
        <v>4883</v>
      </c>
      <c r="I62" t="s">
        <v>148</v>
      </c>
      <c r="J62" t="s">
        <v>148</v>
      </c>
      <c r="L62" t="s">
        <v>147</v>
      </c>
    </row>
    <row r="65" spans="1:12" x14ac:dyDescent="0.2">
      <c r="A65">
        <v>8</v>
      </c>
      <c r="B65" t="s">
        <v>73</v>
      </c>
      <c r="C65">
        <v>1</v>
      </c>
      <c r="D65" s="1" t="s">
        <v>173</v>
      </c>
      <c r="E65">
        <v>21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9</v>
      </c>
      <c r="B66" t="s">
        <v>75</v>
      </c>
      <c r="C66">
        <v>1</v>
      </c>
      <c r="D66" s="1" t="s">
        <v>173</v>
      </c>
      <c r="E66">
        <v>3485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D67" s="1" t="s">
        <v>173</v>
      </c>
      <c r="E67">
        <v>13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D68" s="1" t="s">
        <v>173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5</v>
      </c>
      <c r="B69" t="s">
        <v>62</v>
      </c>
      <c r="C69">
        <v>1</v>
      </c>
      <c r="D69" s="1" t="s">
        <v>173</v>
      </c>
      <c r="E69">
        <v>35</v>
      </c>
      <c r="F69" t="s">
        <v>156</v>
      </c>
      <c r="G69" t="s">
        <v>154</v>
      </c>
      <c r="H69" t="s">
        <v>149</v>
      </c>
      <c r="I69" t="s">
        <v>155</v>
      </c>
      <c r="J69" t="s">
        <v>148</v>
      </c>
      <c r="K69" t="s">
        <v>146</v>
      </c>
      <c r="L69" t="s">
        <v>147</v>
      </c>
    </row>
    <row r="70" spans="1:12" x14ac:dyDescent="0.2">
      <c r="A70">
        <v>14</v>
      </c>
      <c r="B70" t="s">
        <v>89</v>
      </c>
      <c r="C70">
        <v>1</v>
      </c>
      <c r="D70" s="1" t="s">
        <v>173</v>
      </c>
      <c r="E70">
        <v>4907</v>
      </c>
      <c r="I70" t="s">
        <v>155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173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173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15</v>
      </c>
      <c r="B73" t="s">
        <v>99</v>
      </c>
      <c r="C73">
        <v>1</v>
      </c>
      <c r="D73" s="1" t="s">
        <v>173</v>
      </c>
      <c r="E73">
        <v>436</v>
      </c>
      <c r="F73" t="s">
        <v>156</v>
      </c>
      <c r="G73" t="s">
        <v>154</v>
      </c>
      <c r="H73" t="s">
        <v>149</v>
      </c>
      <c r="I73" t="s">
        <v>159</v>
      </c>
      <c r="J73" t="s">
        <v>148</v>
      </c>
      <c r="K73" t="s">
        <v>146</v>
      </c>
      <c r="L73" t="s">
        <v>147</v>
      </c>
    </row>
    <row r="74" spans="1:12" x14ac:dyDescent="0.2">
      <c r="A74">
        <v>4</v>
      </c>
      <c r="B74" t="s">
        <v>59</v>
      </c>
      <c r="C74">
        <v>1</v>
      </c>
      <c r="D74" s="1" t="s">
        <v>173</v>
      </c>
      <c r="E74">
        <v>4</v>
      </c>
      <c r="F74" t="s">
        <v>155</v>
      </c>
      <c r="G74" t="s">
        <v>146</v>
      </c>
      <c r="H74" t="s">
        <v>148</v>
      </c>
      <c r="I74" t="s">
        <v>155</v>
      </c>
      <c r="J74" t="s">
        <v>148</v>
      </c>
      <c r="K74" t="s">
        <v>146</v>
      </c>
      <c r="L74" t="s">
        <v>147</v>
      </c>
    </row>
    <row r="75" spans="1:12" x14ac:dyDescent="0.2">
      <c r="A75">
        <v>12</v>
      </c>
      <c r="B75" t="s">
        <v>85</v>
      </c>
      <c r="C75">
        <v>1</v>
      </c>
      <c r="D75" s="1" t="s">
        <v>173</v>
      </c>
      <c r="E75">
        <v>169</v>
      </c>
      <c r="F75" t="s">
        <v>156</v>
      </c>
      <c r="G75" t="s">
        <v>154</v>
      </c>
      <c r="H75" t="s">
        <v>149</v>
      </c>
      <c r="I75" t="s">
        <v>155</v>
      </c>
      <c r="J75" t="s">
        <v>148</v>
      </c>
      <c r="K75" t="s">
        <v>146</v>
      </c>
      <c r="L75" t="s">
        <v>147</v>
      </c>
    </row>
    <row r="78" spans="1:12" x14ac:dyDescent="0.2">
      <c r="A78">
        <v>3</v>
      </c>
      <c r="B78" t="s">
        <v>101</v>
      </c>
      <c r="C78">
        <v>2</v>
      </c>
      <c r="D78" s="1" t="s">
        <v>174</v>
      </c>
      <c r="E78">
        <v>118</v>
      </c>
    </row>
    <row r="79" spans="1:12" x14ac:dyDescent="0.2">
      <c r="A79">
        <v>6</v>
      </c>
      <c r="B79" t="s">
        <v>109</v>
      </c>
      <c r="C79">
        <v>2</v>
      </c>
      <c r="D79" s="1" t="s">
        <v>174</v>
      </c>
      <c r="E79">
        <v>6</v>
      </c>
    </row>
    <row r="80" spans="1:12" x14ac:dyDescent="0.2">
      <c r="A80">
        <v>10</v>
      </c>
      <c r="B80" t="s">
        <v>124</v>
      </c>
      <c r="C80">
        <v>2</v>
      </c>
      <c r="D80" s="1" t="s">
        <v>174</v>
      </c>
      <c r="E80">
        <v>50</v>
      </c>
    </row>
    <row r="81" spans="1:12" x14ac:dyDescent="0.2">
      <c r="A81">
        <v>4</v>
      </c>
      <c r="B81" t="s">
        <v>103</v>
      </c>
      <c r="C81">
        <v>2</v>
      </c>
      <c r="D81" s="1" t="s">
        <v>174</v>
      </c>
      <c r="E81">
        <v>4808</v>
      </c>
      <c r="J81" t="s">
        <v>148</v>
      </c>
    </row>
    <row r="82" spans="1:12" x14ac:dyDescent="0.2">
      <c r="A82">
        <v>11</v>
      </c>
      <c r="B82" t="s">
        <v>126</v>
      </c>
      <c r="C82">
        <v>2</v>
      </c>
      <c r="D82" s="1" t="s">
        <v>174</v>
      </c>
      <c r="E82">
        <v>848</v>
      </c>
      <c r="J82" t="s">
        <v>148</v>
      </c>
    </row>
    <row r="83" spans="1:12" x14ac:dyDescent="0.2">
      <c r="A83">
        <v>7</v>
      </c>
      <c r="B83" t="s">
        <v>111</v>
      </c>
      <c r="C83">
        <v>2</v>
      </c>
      <c r="D83" s="1" t="s">
        <v>174</v>
      </c>
      <c r="E83">
        <v>923</v>
      </c>
      <c r="G83" t="s">
        <v>146</v>
      </c>
      <c r="K83" t="s">
        <v>146</v>
      </c>
    </row>
    <row r="84" spans="1:12" x14ac:dyDescent="0.2">
      <c r="A84">
        <v>13</v>
      </c>
      <c r="B84" t="s">
        <v>132</v>
      </c>
      <c r="C84">
        <v>2</v>
      </c>
      <c r="D84" s="1" t="s">
        <v>174</v>
      </c>
      <c r="E84">
        <v>2877</v>
      </c>
      <c r="G84" t="s">
        <v>146</v>
      </c>
      <c r="K84" t="s">
        <v>146</v>
      </c>
    </row>
    <row r="85" spans="1:12" x14ac:dyDescent="0.2">
      <c r="A85">
        <v>7</v>
      </c>
      <c r="B85" t="s">
        <v>112</v>
      </c>
      <c r="C85">
        <v>2</v>
      </c>
      <c r="D85" s="1" t="s">
        <v>174</v>
      </c>
      <c r="E85">
        <v>41</v>
      </c>
      <c r="G85" t="s">
        <v>147</v>
      </c>
      <c r="L85" t="s">
        <v>147</v>
      </c>
    </row>
    <row r="86" spans="1:12" x14ac:dyDescent="0.2">
      <c r="A86">
        <v>13</v>
      </c>
      <c r="B86" t="s">
        <v>133</v>
      </c>
      <c r="C86">
        <v>2</v>
      </c>
      <c r="D86" s="1" t="s">
        <v>174</v>
      </c>
      <c r="E86">
        <v>154</v>
      </c>
      <c r="G86" t="s">
        <v>147</v>
      </c>
      <c r="L86" t="s">
        <v>147</v>
      </c>
    </row>
    <row r="89" spans="1:12" x14ac:dyDescent="0.2">
      <c r="A89">
        <v>5</v>
      </c>
      <c r="B89" t="s">
        <v>106</v>
      </c>
      <c r="C89">
        <v>2</v>
      </c>
      <c r="D89" s="1" t="s">
        <v>175</v>
      </c>
      <c r="E89">
        <v>49</v>
      </c>
      <c r="F89" t="s">
        <v>155</v>
      </c>
      <c r="G89" t="s">
        <v>146</v>
      </c>
      <c r="H89" t="s">
        <v>148</v>
      </c>
      <c r="I89" t="s">
        <v>155</v>
      </c>
      <c r="J89" t="s">
        <v>148</v>
      </c>
      <c r="K89" t="s">
        <v>146</v>
      </c>
    </row>
    <row r="90" spans="1:12" x14ac:dyDescent="0.2">
      <c r="A90">
        <v>12</v>
      </c>
      <c r="B90" t="s">
        <v>129</v>
      </c>
      <c r="C90">
        <v>2</v>
      </c>
      <c r="D90" s="1" t="s">
        <v>175</v>
      </c>
      <c r="E90">
        <v>16</v>
      </c>
      <c r="F90" t="s">
        <v>155</v>
      </c>
      <c r="G90" t="s">
        <v>146</v>
      </c>
      <c r="H90" t="s">
        <v>148</v>
      </c>
      <c r="I90" t="s">
        <v>155</v>
      </c>
      <c r="J90" t="s">
        <v>148</v>
      </c>
      <c r="K90" t="s">
        <v>146</v>
      </c>
    </row>
    <row r="93" spans="1:12" x14ac:dyDescent="0.2">
      <c r="A93">
        <v>7</v>
      </c>
      <c r="B93" t="s">
        <v>113</v>
      </c>
      <c r="C93">
        <v>2</v>
      </c>
      <c r="D93" s="1" t="s">
        <v>176</v>
      </c>
      <c r="E93">
        <v>688</v>
      </c>
      <c r="G93" t="s">
        <v>154</v>
      </c>
      <c r="K93" t="s">
        <v>146</v>
      </c>
      <c r="L93" t="s">
        <v>147</v>
      </c>
    </row>
    <row r="94" spans="1:12" x14ac:dyDescent="0.2">
      <c r="A94">
        <v>13</v>
      </c>
      <c r="B94" t="s">
        <v>134</v>
      </c>
      <c r="C94">
        <v>2</v>
      </c>
      <c r="D94" s="1" t="s">
        <v>176</v>
      </c>
      <c r="E94">
        <v>1993</v>
      </c>
      <c r="G94" t="s">
        <v>154</v>
      </c>
      <c r="K94" t="s">
        <v>146</v>
      </c>
      <c r="L94" t="s">
        <v>147</v>
      </c>
    </row>
    <row r="97" spans="1:12" x14ac:dyDescent="0.2">
      <c r="A97">
        <v>5</v>
      </c>
      <c r="B97" t="s">
        <v>105</v>
      </c>
      <c r="C97">
        <v>2</v>
      </c>
      <c r="D97" s="1" t="s">
        <v>177</v>
      </c>
      <c r="E97">
        <v>4862</v>
      </c>
      <c r="F97" t="s">
        <v>149</v>
      </c>
      <c r="G97" t="s">
        <v>147</v>
      </c>
      <c r="H97" t="s">
        <v>149</v>
      </c>
      <c r="I97" t="s">
        <v>148</v>
      </c>
      <c r="J97" t="s">
        <v>148</v>
      </c>
      <c r="L97" t="s">
        <v>147</v>
      </c>
    </row>
    <row r="98" spans="1:12" x14ac:dyDescent="0.2">
      <c r="A98">
        <v>8</v>
      </c>
      <c r="B98" t="s">
        <v>116</v>
      </c>
      <c r="C98">
        <v>2</v>
      </c>
      <c r="D98" s="1" t="s">
        <v>177</v>
      </c>
      <c r="E98">
        <v>29</v>
      </c>
      <c r="F98" t="s">
        <v>149</v>
      </c>
      <c r="G98" t="s">
        <v>147</v>
      </c>
      <c r="H98" t="s">
        <v>149</v>
      </c>
      <c r="I98" t="s">
        <v>148</v>
      </c>
      <c r="J98" t="s">
        <v>148</v>
      </c>
      <c r="L98" t="s">
        <v>147</v>
      </c>
    </row>
    <row r="99" spans="1:12" x14ac:dyDescent="0.2">
      <c r="A99">
        <v>12</v>
      </c>
      <c r="B99" t="s">
        <v>128</v>
      </c>
      <c r="C99">
        <v>2</v>
      </c>
      <c r="D99" s="1" t="s">
        <v>177</v>
      </c>
      <c r="E99">
        <v>1644</v>
      </c>
      <c r="F99" t="s">
        <v>149</v>
      </c>
      <c r="G99" t="s">
        <v>147</v>
      </c>
      <c r="H99" t="s">
        <v>149</v>
      </c>
      <c r="I99" t="s">
        <v>148</v>
      </c>
      <c r="J99" t="s">
        <v>148</v>
      </c>
      <c r="L99" t="s">
        <v>147</v>
      </c>
    </row>
    <row r="100" spans="1:12" x14ac:dyDescent="0.2">
      <c r="A100">
        <v>14</v>
      </c>
      <c r="B100" t="s">
        <v>137</v>
      </c>
      <c r="C100">
        <v>2</v>
      </c>
      <c r="D100" s="1" t="s">
        <v>177</v>
      </c>
      <c r="E100">
        <v>4866</v>
      </c>
      <c r="G100" t="s">
        <v>147</v>
      </c>
      <c r="J100" t="s">
        <v>148</v>
      </c>
      <c r="L100" t="s">
        <v>147</v>
      </c>
    </row>
    <row r="103" spans="1:12" x14ac:dyDescent="0.2">
      <c r="A103">
        <v>5</v>
      </c>
      <c r="B103" t="s">
        <v>107</v>
      </c>
      <c r="C103">
        <v>2</v>
      </c>
      <c r="D103" s="1" t="s">
        <v>178</v>
      </c>
      <c r="E103">
        <v>363</v>
      </c>
      <c r="F103" t="s">
        <v>156</v>
      </c>
      <c r="G103" t="s">
        <v>154</v>
      </c>
      <c r="H103" t="s">
        <v>149</v>
      </c>
      <c r="I103" t="s">
        <v>155</v>
      </c>
      <c r="J103" t="s">
        <v>148</v>
      </c>
      <c r="K103" t="s">
        <v>146</v>
      </c>
      <c r="L103" t="s">
        <v>147</v>
      </c>
    </row>
    <row r="104" spans="1:12" x14ac:dyDescent="0.2">
      <c r="A104">
        <v>9</v>
      </c>
      <c r="B104" t="s">
        <v>120</v>
      </c>
      <c r="C104">
        <v>2</v>
      </c>
      <c r="D104" s="1" t="s">
        <v>178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178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9</v>
      </c>
      <c r="B106" t="s">
        <v>122</v>
      </c>
      <c r="C106">
        <v>2</v>
      </c>
      <c r="D106" s="1" t="s">
        <v>178</v>
      </c>
      <c r="E106">
        <v>132</v>
      </c>
      <c r="F106" t="s">
        <v>156</v>
      </c>
      <c r="G106" t="s">
        <v>158</v>
      </c>
      <c r="H106" t="s">
        <v>149</v>
      </c>
      <c r="I106" t="s">
        <v>155</v>
      </c>
      <c r="J106" t="s">
        <v>148</v>
      </c>
      <c r="K106" t="s">
        <v>146</v>
      </c>
      <c r="L106" t="s">
        <v>147</v>
      </c>
    </row>
    <row r="107" spans="1:12" x14ac:dyDescent="0.2">
      <c r="A107">
        <v>12</v>
      </c>
      <c r="B107" t="s">
        <v>130</v>
      </c>
      <c r="C107">
        <v>2</v>
      </c>
      <c r="D107" s="1" t="s">
        <v>178</v>
      </c>
      <c r="E107">
        <v>125</v>
      </c>
      <c r="F107" t="s">
        <v>156</v>
      </c>
      <c r="G107" t="s">
        <v>154</v>
      </c>
      <c r="H107" t="s">
        <v>149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A108">
        <v>14</v>
      </c>
      <c r="B108" t="s">
        <v>138</v>
      </c>
      <c r="C108">
        <v>2</v>
      </c>
      <c r="D108" s="1" t="s">
        <v>178</v>
      </c>
      <c r="E108">
        <v>3526</v>
      </c>
      <c r="G108" t="s">
        <v>154</v>
      </c>
      <c r="J108" t="s">
        <v>148</v>
      </c>
      <c r="K108" t="s">
        <v>146</v>
      </c>
      <c r="L108" t="s">
        <v>147</v>
      </c>
    </row>
    <row r="109" spans="1:12" x14ac:dyDescent="0.2">
      <c r="A109">
        <v>14</v>
      </c>
      <c r="B109" t="s">
        <v>139</v>
      </c>
      <c r="C109">
        <v>2</v>
      </c>
      <c r="D109" s="1" t="s">
        <v>178</v>
      </c>
      <c r="E109">
        <v>4892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15</v>
      </c>
      <c r="B110" t="s">
        <v>142</v>
      </c>
      <c r="C110">
        <v>2</v>
      </c>
      <c r="D110" s="1" t="s">
        <v>178</v>
      </c>
      <c r="E110">
        <v>4916</v>
      </c>
      <c r="F110" t="s">
        <v>149</v>
      </c>
      <c r="G110" t="s">
        <v>158</v>
      </c>
      <c r="H110" t="s">
        <v>149</v>
      </c>
      <c r="I110" t="s">
        <v>148</v>
      </c>
      <c r="J110" t="s">
        <v>148</v>
      </c>
      <c r="K110" t="s">
        <v>146</v>
      </c>
      <c r="L110" t="s">
        <v>147</v>
      </c>
    </row>
    <row r="111" spans="1:12" x14ac:dyDescent="0.2">
      <c r="A111">
        <v>15</v>
      </c>
      <c r="B111" t="s">
        <v>143</v>
      </c>
      <c r="C111">
        <v>2</v>
      </c>
      <c r="D111" s="1" t="s">
        <v>178</v>
      </c>
      <c r="E111">
        <v>226</v>
      </c>
      <c r="F111" t="s">
        <v>155</v>
      </c>
      <c r="G111" t="s">
        <v>158</v>
      </c>
      <c r="H111" t="s">
        <v>148</v>
      </c>
      <c r="I111" t="s">
        <v>155</v>
      </c>
      <c r="J111" t="s">
        <v>148</v>
      </c>
      <c r="K111" t="s">
        <v>146</v>
      </c>
      <c r="L111" t="s">
        <v>147</v>
      </c>
    </row>
    <row r="112" spans="1:12" x14ac:dyDescent="0.2">
      <c r="A112">
        <v>15</v>
      </c>
      <c r="B112" t="s">
        <v>144</v>
      </c>
      <c r="C112">
        <v>2</v>
      </c>
      <c r="D112" s="1" t="s">
        <v>178</v>
      </c>
      <c r="E112">
        <v>2942</v>
      </c>
      <c r="F112" t="s">
        <v>156</v>
      </c>
      <c r="G112" t="s">
        <v>158</v>
      </c>
      <c r="H112" t="s">
        <v>149</v>
      </c>
      <c r="I112" t="s">
        <v>155</v>
      </c>
      <c r="J112" t="s">
        <v>148</v>
      </c>
      <c r="K112" t="s">
        <v>146</v>
      </c>
      <c r="L112" t="s">
        <v>147</v>
      </c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6" spans="3:5" x14ac:dyDescent="0.2">
      <c r="C126" s="1"/>
      <c r="D126" s="1"/>
      <c r="E126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41" spans="3:5" x14ac:dyDescent="0.2">
      <c r="C141" s="1"/>
      <c r="D141" s="1"/>
      <c r="E14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FFAFD-7483-144A-957A-73E2CBBDDA77}">
  <dimension ref="A1:L142"/>
  <sheetViews>
    <sheetView workbookViewId="0">
      <selection activeCell="D33" sqref="D33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6" spans="1:12" x14ac:dyDescent="0.2">
      <c r="A16">
        <v>14</v>
      </c>
      <c r="B16" t="s">
        <v>48</v>
      </c>
      <c r="C16">
        <v>0</v>
      </c>
      <c r="D16" t="s">
        <v>166</v>
      </c>
      <c r="E16">
        <v>1783</v>
      </c>
      <c r="H16" t="s">
        <v>148</v>
      </c>
      <c r="J16" t="s">
        <v>148</v>
      </c>
      <c r="K16" t="s">
        <v>146</v>
      </c>
    </row>
    <row r="18" spans="1:12" x14ac:dyDescent="0.2">
      <c r="A18">
        <v>5</v>
      </c>
      <c r="B18" t="s">
        <v>16</v>
      </c>
      <c r="C18">
        <v>0</v>
      </c>
      <c r="D18" s="1" t="s">
        <v>167</v>
      </c>
      <c r="E18">
        <v>7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28</v>
      </c>
      <c r="C19">
        <v>0</v>
      </c>
      <c r="D19" s="1" t="s">
        <v>167</v>
      </c>
      <c r="E19">
        <v>1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12</v>
      </c>
      <c r="B20" t="s">
        <v>39</v>
      </c>
      <c r="C20">
        <v>0</v>
      </c>
      <c r="D20" s="1" t="s">
        <v>167</v>
      </c>
      <c r="E20">
        <v>20</v>
      </c>
      <c r="F20" t="s">
        <v>154</v>
      </c>
      <c r="G20" t="s">
        <v>154</v>
      </c>
      <c r="H20" t="s">
        <v>147</v>
      </c>
      <c r="I20" t="s">
        <v>146</v>
      </c>
      <c r="K20" t="s">
        <v>146</v>
      </c>
      <c r="L20" t="s">
        <v>147</v>
      </c>
    </row>
    <row r="21" spans="1:12" x14ac:dyDescent="0.2">
      <c r="A21">
        <v>14</v>
      </c>
      <c r="B21" t="s">
        <v>47</v>
      </c>
      <c r="C21">
        <v>0</v>
      </c>
      <c r="D21" s="1" t="s">
        <v>167</v>
      </c>
      <c r="E21">
        <v>4886</v>
      </c>
      <c r="H21" t="s">
        <v>147</v>
      </c>
      <c r="K21" t="s">
        <v>146</v>
      </c>
      <c r="L21" t="s">
        <v>147</v>
      </c>
    </row>
    <row r="23" spans="1:12" x14ac:dyDescent="0.2">
      <c r="A23">
        <v>7</v>
      </c>
      <c r="B23" t="s">
        <v>24</v>
      </c>
      <c r="C23">
        <v>0</v>
      </c>
      <c r="D23" s="1" t="s">
        <v>168</v>
      </c>
      <c r="E23">
        <v>616</v>
      </c>
      <c r="H23" t="s">
        <v>149</v>
      </c>
      <c r="J23" t="s">
        <v>148</v>
      </c>
      <c r="L23" t="s">
        <v>147</v>
      </c>
    </row>
    <row r="24" spans="1:12" x14ac:dyDescent="0.2">
      <c r="A24">
        <v>13</v>
      </c>
      <c r="B24" t="s">
        <v>44</v>
      </c>
      <c r="C24">
        <v>0</v>
      </c>
      <c r="D24" s="1" t="s">
        <v>168</v>
      </c>
      <c r="E24">
        <v>509</v>
      </c>
      <c r="H24" t="s">
        <v>149</v>
      </c>
      <c r="J24" t="s">
        <v>148</v>
      </c>
      <c r="L24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180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32</v>
      </c>
      <c r="C27">
        <v>0</v>
      </c>
      <c r="D27" s="1" t="s">
        <v>180</v>
      </c>
      <c r="E27">
        <v>51</v>
      </c>
      <c r="F27" t="s">
        <v>156</v>
      </c>
      <c r="G27" t="s">
        <v>154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12</v>
      </c>
      <c r="B28" t="s">
        <v>40</v>
      </c>
      <c r="C28">
        <v>0</v>
      </c>
      <c r="D28" s="1" t="s">
        <v>180</v>
      </c>
      <c r="E28">
        <v>109</v>
      </c>
      <c r="F28" t="s">
        <v>156</v>
      </c>
      <c r="G28" t="s">
        <v>154</v>
      </c>
      <c r="H28" t="s">
        <v>149</v>
      </c>
      <c r="I28" t="s">
        <v>155</v>
      </c>
      <c r="J28" t="s">
        <v>148</v>
      </c>
      <c r="K28" t="s">
        <v>146</v>
      </c>
      <c r="L28" t="s">
        <v>147</v>
      </c>
    </row>
    <row r="29" spans="1:12" x14ac:dyDescent="0.2">
      <c r="A29">
        <v>15</v>
      </c>
      <c r="B29" t="s">
        <v>54</v>
      </c>
      <c r="C29">
        <v>0</v>
      </c>
      <c r="D29" s="1" t="s">
        <v>180</v>
      </c>
      <c r="E29">
        <v>470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5</v>
      </c>
      <c r="B30" t="s">
        <v>18</v>
      </c>
      <c r="C30">
        <v>0</v>
      </c>
      <c r="D30" s="1" t="s">
        <v>180</v>
      </c>
      <c r="E30">
        <v>72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D31" s="1"/>
    </row>
    <row r="32" spans="1:12" x14ac:dyDescent="0.2">
      <c r="A32">
        <v>9</v>
      </c>
      <c r="B32" t="s">
        <v>179</v>
      </c>
      <c r="C32">
        <v>0</v>
      </c>
      <c r="D32" s="1" t="s">
        <v>181</v>
      </c>
      <c r="E32">
        <v>2123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9</v>
      </c>
      <c r="B33" t="s">
        <v>31</v>
      </c>
      <c r="C33">
        <v>0</v>
      </c>
      <c r="D33" s="1" t="s">
        <v>181</v>
      </c>
      <c r="E33">
        <v>16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52</v>
      </c>
      <c r="C34">
        <v>0</v>
      </c>
      <c r="D34" s="1" t="s">
        <v>181</v>
      </c>
      <c r="E34">
        <v>4909</v>
      </c>
      <c r="F34" t="s">
        <v>155</v>
      </c>
      <c r="G34" t="s">
        <v>146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15</v>
      </c>
      <c r="B35" t="s">
        <v>53</v>
      </c>
      <c r="C35">
        <v>0</v>
      </c>
      <c r="D35" s="1" t="s">
        <v>181</v>
      </c>
      <c r="E35">
        <v>57</v>
      </c>
      <c r="F35" t="s">
        <v>154</v>
      </c>
      <c r="G35" t="s">
        <v>154</v>
      </c>
      <c r="H35" t="s">
        <v>150</v>
      </c>
      <c r="I35" t="s">
        <v>146</v>
      </c>
      <c r="J35" t="s">
        <v>148</v>
      </c>
      <c r="K35" t="s">
        <v>146</v>
      </c>
      <c r="L35" t="s">
        <v>147</v>
      </c>
    </row>
    <row r="37" spans="1:12" x14ac:dyDescent="0.2">
      <c r="A37">
        <v>14</v>
      </c>
      <c r="B37" t="s">
        <v>49</v>
      </c>
      <c r="C37">
        <v>0</v>
      </c>
      <c r="D37" s="1" t="s">
        <v>182</v>
      </c>
      <c r="E37">
        <v>4894</v>
      </c>
      <c r="H37" t="s">
        <v>149</v>
      </c>
      <c r="J37" t="s">
        <v>148</v>
      </c>
      <c r="K37" t="s">
        <v>146</v>
      </c>
      <c r="L37" t="s">
        <v>147</v>
      </c>
    </row>
    <row r="39" spans="1:12" x14ac:dyDescent="0.2">
      <c r="A39">
        <v>3</v>
      </c>
      <c r="B39" t="s">
        <v>56</v>
      </c>
      <c r="C39">
        <v>1</v>
      </c>
      <c r="D39" s="1" t="s">
        <v>169</v>
      </c>
      <c r="E39">
        <v>10</v>
      </c>
    </row>
    <row r="40" spans="1:12" x14ac:dyDescent="0.2">
      <c r="A40">
        <v>6</v>
      </c>
      <c r="B40" t="s">
        <v>64</v>
      </c>
      <c r="C40">
        <v>1</v>
      </c>
      <c r="D40" s="1" t="s">
        <v>169</v>
      </c>
      <c r="E40">
        <v>24</v>
      </c>
    </row>
    <row r="41" spans="1:12" x14ac:dyDescent="0.2">
      <c r="A41">
        <v>10</v>
      </c>
      <c r="B41" t="s">
        <v>79</v>
      </c>
      <c r="C41">
        <v>1</v>
      </c>
      <c r="D41" s="1" t="s">
        <v>169</v>
      </c>
      <c r="E41">
        <v>42</v>
      </c>
    </row>
    <row r="42" spans="1:12" x14ac:dyDescent="0.2">
      <c r="A42">
        <v>7</v>
      </c>
      <c r="B42" t="s">
        <v>66</v>
      </c>
      <c r="C42">
        <v>1</v>
      </c>
      <c r="D42" s="1" t="s">
        <v>169</v>
      </c>
      <c r="E42">
        <v>634</v>
      </c>
      <c r="I42" t="s">
        <v>148</v>
      </c>
      <c r="J42" t="s">
        <v>148</v>
      </c>
    </row>
    <row r="43" spans="1:12" x14ac:dyDescent="0.2">
      <c r="A43">
        <v>13</v>
      </c>
      <c r="B43" t="s">
        <v>92</v>
      </c>
      <c r="C43">
        <v>1</v>
      </c>
      <c r="D43" s="1" t="s">
        <v>169</v>
      </c>
      <c r="E43">
        <v>213</v>
      </c>
      <c r="I43" t="s">
        <v>148</v>
      </c>
      <c r="J43" t="s">
        <v>148</v>
      </c>
    </row>
    <row r="44" spans="1:12" x14ac:dyDescent="0.2">
      <c r="A44">
        <v>7</v>
      </c>
      <c r="B44" t="s">
        <v>67</v>
      </c>
      <c r="C44">
        <v>1</v>
      </c>
      <c r="D44" s="1" t="s">
        <v>169</v>
      </c>
      <c r="E44">
        <v>24</v>
      </c>
      <c r="I44" t="s">
        <v>146</v>
      </c>
      <c r="K44" t="s">
        <v>146</v>
      </c>
    </row>
    <row r="45" spans="1:12" x14ac:dyDescent="0.2">
      <c r="A45">
        <v>13</v>
      </c>
      <c r="B45" t="s">
        <v>93</v>
      </c>
      <c r="C45">
        <v>1</v>
      </c>
      <c r="D45" s="1" t="s">
        <v>169</v>
      </c>
      <c r="E45">
        <v>10</v>
      </c>
      <c r="I45" t="s">
        <v>146</v>
      </c>
      <c r="K45" t="s">
        <v>146</v>
      </c>
    </row>
    <row r="46" spans="1:12" x14ac:dyDescent="0.2">
      <c r="A46">
        <v>4</v>
      </c>
      <c r="B46" t="s">
        <v>58</v>
      </c>
      <c r="C46">
        <v>1</v>
      </c>
      <c r="D46" s="1" t="s">
        <v>169</v>
      </c>
      <c r="E46">
        <v>4853</v>
      </c>
      <c r="L46" t="s">
        <v>147</v>
      </c>
    </row>
    <row r="47" spans="1:12" x14ac:dyDescent="0.2">
      <c r="A47">
        <v>11</v>
      </c>
      <c r="B47" t="s">
        <v>81</v>
      </c>
      <c r="C47">
        <v>1</v>
      </c>
      <c r="D47" s="1" t="s">
        <v>169</v>
      </c>
      <c r="E47">
        <v>3162</v>
      </c>
      <c r="L47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2" spans="1:12" x14ac:dyDescent="0.2">
      <c r="A52">
        <v>5</v>
      </c>
      <c r="B52" t="s">
        <v>60</v>
      </c>
      <c r="C52">
        <v>1</v>
      </c>
      <c r="D52" s="1" t="s">
        <v>171</v>
      </c>
      <c r="E52">
        <v>403</v>
      </c>
      <c r="F52" t="s">
        <v>154</v>
      </c>
      <c r="G52" t="s">
        <v>154</v>
      </c>
      <c r="H52" t="s">
        <v>147</v>
      </c>
      <c r="I52" t="s">
        <v>146</v>
      </c>
      <c r="K52" t="s">
        <v>146</v>
      </c>
      <c r="L52" t="s">
        <v>147</v>
      </c>
    </row>
    <row r="53" spans="1:12" x14ac:dyDescent="0.2">
      <c r="A53">
        <v>8</v>
      </c>
      <c r="B53" t="s">
        <v>71</v>
      </c>
      <c r="C53">
        <v>1</v>
      </c>
      <c r="D53" s="1" t="s">
        <v>171</v>
      </c>
      <c r="E53">
        <v>228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12</v>
      </c>
      <c r="B54" t="s">
        <v>83</v>
      </c>
      <c r="C54">
        <v>1</v>
      </c>
      <c r="D54" s="1" t="s">
        <v>171</v>
      </c>
      <c r="E54">
        <v>1654</v>
      </c>
      <c r="F54" s="1" t="s">
        <v>154</v>
      </c>
      <c r="G54" s="1" t="s">
        <v>154</v>
      </c>
      <c r="H54" s="1" t="s">
        <v>147</v>
      </c>
      <c r="I54" s="1" t="s">
        <v>146</v>
      </c>
      <c r="J54" s="1"/>
      <c r="K54" s="1" t="s">
        <v>146</v>
      </c>
      <c r="L54" s="1" t="s">
        <v>147</v>
      </c>
    </row>
    <row r="55" spans="1:12" x14ac:dyDescent="0.2">
      <c r="A55">
        <v>12</v>
      </c>
      <c r="B55" t="s">
        <v>84</v>
      </c>
      <c r="C55">
        <v>1</v>
      </c>
      <c r="D55" s="1" t="s">
        <v>171</v>
      </c>
      <c r="E55">
        <v>7</v>
      </c>
      <c r="F55" t="s">
        <v>154</v>
      </c>
      <c r="G55" t="s">
        <v>154</v>
      </c>
      <c r="H55" t="s">
        <v>147</v>
      </c>
      <c r="I55" t="s">
        <v>146</v>
      </c>
      <c r="K55" t="s">
        <v>146</v>
      </c>
      <c r="L55" t="s">
        <v>147</v>
      </c>
    </row>
    <row r="56" spans="1:12" x14ac:dyDescent="0.2">
      <c r="D56" s="1"/>
    </row>
    <row r="57" spans="1:12" x14ac:dyDescent="0.2">
      <c r="A57">
        <v>14</v>
      </c>
      <c r="B57" t="s">
        <v>88</v>
      </c>
      <c r="C57">
        <v>1</v>
      </c>
      <c r="D57" s="1" t="s">
        <v>172</v>
      </c>
      <c r="E57">
        <v>2952</v>
      </c>
      <c r="I57" t="s">
        <v>146</v>
      </c>
      <c r="K57" t="s">
        <v>146</v>
      </c>
      <c r="L57" t="s">
        <v>147</v>
      </c>
    </row>
    <row r="59" spans="1:12" x14ac:dyDescent="0.2">
      <c r="A59">
        <v>5</v>
      </c>
      <c r="B59" t="s">
        <v>61</v>
      </c>
      <c r="C59">
        <v>1</v>
      </c>
      <c r="D59" s="1" t="s">
        <v>173</v>
      </c>
      <c r="E59">
        <v>3</v>
      </c>
      <c r="F59" t="s">
        <v>149</v>
      </c>
      <c r="G59" t="s">
        <v>147</v>
      </c>
      <c r="H59" t="s">
        <v>149</v>
      </c>
      <c r="I59" t="s">
        <v>148</v>
      </c>
      <c r="J59" t="s">
        <v>148</v>
      </c>
      <c r="L59" t="s">
        <v>147</v>
      </c>
    </row>
    <row r="60" spans="1:12" ht="17" customHeight="1" x14ac:dyDescent="0.2">
      <c r="A60">
        <v>8</v>
      </c>
      <c r="B60" t="s">
        <v>72</v>
      </c>
      <c r="C60">
        <v>1</v>
      </c>
      <c r="D60" s="1" t="s">
        <v>173</v>
      </c>
      <c r="E60">
        <v>1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x14ac:dyDescent="0.2">
      <c r="A61">
        <v>14</v>
      </c>
      <c r="B61" t="s">
        <v>87</v>
      </c>
      <c r="C61">
        <v>1</v>
      </c>
      <c r="D61" s="1" t="s">
        <v>173</v>
      </c>
      <c r="E61">
        <v>4883</v>
      </c>
      <c r="I61" t="s">
        <v>148</v>
      </c>
      <c r="J61" t="s">
        <v>148</v>
      </c>
      <c r="L61" t="s">
        <v>147</v>
      </c>
    </row>
    <row r="63" spans="1:12" x14ac:dyDescent="0.2">
      <c r="A63">
        <v>8</v>
      </c>
      <c r="B63" t="s">
        <v>73</v>
      </c>
      <c r="C63">
        <v>1</v>
      </c>
      <c r="D63" s="1" t="s">
        <v>183</v>
      </c>
      <c r="E63">
        <v>21</v>
      </c>
      <c r="F63" t="s">
        <v>156</v>
      </c>
      <c r="G63" t="s">
        <v>154</v>
      </c>
      <c r="H63" t="s">
        <v>149</v>
      </c>
      <c r="I63" t="s">
        <v>155</v>
      </c>
      <c r="J63" t="s">
        <v>148</v>
      </c>
      <c r="K63" t="s">
        <v>146</v>
      </c>
      <c r="L63" t="s">
        <v>147</v>
      </c>
    </row>
    <row r="64" spans="1:12" x14ac:dyDescent="0.2">
      <c r="A64">
        <v>9</v>
      </c>
      <c r="B64" t="s">
        <v>77</v>
      </c>
      <c r="C64">
        <v>1</v>
      </c>
      <c r="D64" s="1" t="s">
        <v>183</v>
      </c>
      <c r="E64">
        <v>128</v>
      </c>
      <c r="F64" t="s">
        <v>156</v>
      </c>
      <c r="G64" t="s">
        <v>154</v>
      </c>
      <c r="H64" t="s">
        <v>149</v>
      </c>
      <c r="I64" t="s">
        <v>159</v>
      </c>
      <c r="J64" t="s">
        <v>148</v>
      </c>
      <c r="K64" t="s">
        <v>146</v>
      </c>
      <c r="L64" t="s">
        <v>147</v>
      </c>
    </row>
    <row r="65" spans="1:12" x14ac:dyDescent="0.2">
      <c r="A65">
        <v>5</v>
      </c>
      <c r="B65" t="s">
        <v>62</v>
      </c>
      <c r="C65">
        <v>1</v>
      </c>
      <c r="D65" s="1" t="s">
        <v>183</v>
      </c>
      <c r="E65">
        <v>35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15</v>
      </c>
      <c r="B66" t="s">
        <v>99</v>
      </c>
      <c r="C66">
        <v>1</v>
      </c>
      <c r="D66" s="1" t="s">
        <v>183</v>
      </c>
      <c r="E66">
        <v>436</v>
      </c>
      <c r="F66" t="s">
        <v>156</v>
      </c>
      <c r="G66" t="s">
        <v>154</v>
      </c>
      <c r="H66" t="s">
        <v>149</v>
      </c>
      <c r="I66" t="s">
        <v>159</v>
      </c>
      <c r="J66" t="s">
        <v>148</v>
      </c>
      <c r="K66" t="s">
        <v>146</v>
      </c>
      <c r="L66" t="s">
        <v>147</v>
      </c>
    </row>
    <row r="67" spans="1:12" ht="17" customHeight="1" x14ac:dyDescent="0.2">
      <c r="A67">
        <v>12</v>
      </c>
      <c r="B67" t="s">
        <v>85</v>
      </c>
      <c r="C67">
        <v>1</v>
      </c>
      <c r="D67" s="1" t="s">
        <v>183</v>
      </c>
      <c r="E67">
        <v>169</v>
      </c>
      <c r="F67" t="s">
        <v>156</v>
      </c>
      <c r="G67" t="s">
        <v>154</v>
      </c>
      <c r="H67" t="s">
        <v>149</v>
      </c>
      <c r="I67" t="s">
        <v>155</v>
      </c>
      <c r="J67" t="s">
        <v>148</v>
      </c>
      <c r="K67" t="s">
        <v>146</v>
      </c>
      <c r="L67" t="s">
        <v>147</v>
      </c>
    </row>
    <row r="69" spans="1:12" x14ac:dyDescent="0.2">
      <c r="A69">
        <v>9</v>
      </c>
      <c r="B69" t="s">
        <v>75</v>
      </c>
      <c r="C69">
        <v>1</v>
      </c>
      <c r="D69" s="1" t="s">
        <v>184</v>
      </c>
      <c r="E69">
        <v>3485</v>
      </c>
      <c r="F69" s="1" t="s">
        <v>154</v>
      </c>
      <c r="G69" s="1" t="s">
        <v>154</v>
      </c>
      <c r="H69" s="1" t="s">
        <v>147</v>
      </c>
      <c r="I69" s="1" t="s">
        <v>159</v>
      </c>
      <c r="J69" s="1" t="s">
        <v>148</v>
      </c>
      <c r="K69" s="1" t="s">
        <v>146</v>
      </c>
      <c r="L69" s="1" t="s">
        <v>147</v>
      </c>
    </row>
    <row r="70" spans="1:12" x14ac:dyDescent="0.2">
      <c r="A70">
        <v>9</v>
      </c>
      <c r="B70" t="s">
        <v>76</v>
      </c>
      <c r="C70">
        <v>1</v>
      </c>
      <c r="D70" s="1" t="s">
        <v>184</v>
      </c>
      <c r="E70">
        <v>13</v>
      </c>
      <c r="F70" t="s">
        <v>149</v>
      </c>
      <c r="G70" t="s">
        <v>147</v>
      </c>
      <c r="H70" t="s">
        <v>149</v>
      </c>
      <c r="I70" t="s">
        <v>159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184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184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4</v>
      </c>
      <c r="B73" t="s">
        <v>59</v>
      </c>
      <c r="C73">
        <v>1</v>
      </c>
      <c r="D73" s="1" t="s">
        <v>184</v>
      </c>
      <c r="E73">
        <v>4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5" spans="1:12" x14ac:dyDescent="0.2">
      <c r="A75">
        <v>14</v>
      </c>
      <c r="B75" t="s">
        <v>89</v>
      </c>
      <c r="C75">
        <v>1</v>
      </c>
      <c r="D75" s="1" t="s">
        <v>185</v>
      </c>
      <c r="E75">
        <v>4907</v>
      </c>
      <c r="I75" t="s">
        <v>155</v>
      </c>
      <c r="J75" t="s">
        <v>148</v>
      </c>
      <c r="K75" t="s">
        <v>146</v>
      </c>
      <c r="L75" t="s">
        <v>147</v>
      </c>
    </row>
    <row r="77" spans="1:12" x14ac:dyDescent="0.2">
      <c r="A77">
        <v>3</v>
      </c>
      <c r="B77" t="s">
        <v>101</v>
      </c>
      <c r="C77">
        <v>2</v>
      </c>
      <c r="D77" s="1" t="s">
        <v>174</v>
      </c>
      <c r="E77">
        <v>118</v>
      </c>
    </row>
    <row r="78" spans="1:12" x14ac:dyDescent="0.2">
      <c r="A78">
        <v>6</v>
      </c>
      <c r="B78" t="s">
        <v>109</v>
      </c>
      <c r="C78">
        <v>2</v>
      </c>
      <c r="D78" s="1" t="s">
        <v>174</v>
      </c>
      <c r="E78">
        <v>6</v>
      </c>
    </row>
    <row r="79" spans="1:12" x14ac:dyDescent="0.2">
      <c r="A79">
        <v>10</v>
      </c>
      <c r="B79" t="s">
        <v>124</v>
      </c>
      <c r="C79">
        <v>2</v>
      </c>
      <c r="D79" s="1" t="s">
        <v>174</v>
      </c>
      <c r="E79">
        <v>50</v>
      </c>
    </row>
    <row r="80" spans="1:12" x14ac:dyDescent="0.2">
      <c r="A80">
        <v>4</v>
      </c>
      <c r="B80" t="s">
        <v>103</v>
      </c>
      <c r="C80">
        <v>2</v>
      </c>
      <c r="D80" s="1" t="s">
        <v>174</v>
      </c>
      <c r="E80">
        <v>4808</v>
      </c>
      <c r="J80" t="s">
        <v>148</v>
      </c>
    </row>
    <row r="81" spans="1:12" x14ac:dyDescent="0.2">
      <c r="A81">
        <v>11</v>
      </c>
      <c r="B81" t="s">
        <v>126</v>
      </c>
      <c r="C81">
        <v>2</v>
      </c>
      <c r="D81" s="1" t="s">
        <v>174</v>
      </c>
      <c r="E81">
        <v>848</v>
      </c>
      <c r="J81" t="s">
        <v>148</v>
      </c>
    </row>
    <row r="82" spans="1:12" x14ac:dyDescent="0.2">
      <c r="A82">
        <v>7</v>
      </c>
      <c r="B82" t="s">
        <v>111</v>
      </c>
      <c r="C82">
        <v>2</v>
      </c>
      <c r="D82" s="1" t="s">
        <v>174</v>
      </c>
      <c r="E82">
        <v>923</v>
      </c>
      <c r="G82" t="s">
        <v>146</v>
      </c>
      <c r="K82" t="s">
        <v>146</v>
      </c>
    </row>
    <row r="83" spans="1:12" x14ac:dyDescent="0.2">
      <c r="A83">
        <v>13</v>
      </c>
      <c r="B83" t="s">
        <v>132</v>
      </c>
      <c r="C83">
        <v>2</v>
      </c>
      <c r="D83" s="1" t="s">
        <v>174</v>
      </c>
      <c r="E83">
        <v>2877</v>
      </c>
      <c r="G83" t="s">
        <v>146</v>
      </c>
      <c r="K83" t="s">
        <v>146</v>
      </c>
    </row>
    <row r="84" spans="1:12" x14ac:dyDescent="0.2">
      <c r="A84">
        <v>7</v>
      </c>
      <c r="B84" t="s">
        <v>112</v>
      </c>
      <c r="C84">
        <v>2</v>
      </c>
      <c r="D84" s="1" t="s">
        <v>174</v>
      </c>
      <c r="E84">
        <v>41</v>
      </c>
      <c r="G84" t="s">
        <v>147</v>
      </c>
      <c r="L84" t="s">
        <v>147</v>
      </c>
    </row>
    <row r="85" spans="1:12" x14ac:dyDescent="0.2">
      <c r="A85">
        <v>13</v>
      </c>
      <c r="B85" t="s">
        <v>133</v>
      </c>
      <c r="C85">
        <v>2</v>
      </c>
      <c r="D85" s="1" t="s">
        <v>174</v>
      </c>
      <c r="E85">
        <v>154</v>
      </c>
      <c r="G85" t="s">
        <v>147</v>
      </c>
      <c r="L85" t="s">
        <v>147</v>
      </c>
    </row>
    <row r="87" spans="1:12" x14ac:dyDescent="0.2">
      <c r="A87">
        <v>5</v>
      </c>
      <c r="B87" t="s">
        <v>106</v>
      </c>
      <c r="C87">
        <v>2</v>
      </c>
      <c r="D87" s="1" t="s">
        <v>175</v>
      </c>
      <c r="E87">
        <v>49</v>
      </c>
      <c r="F87" t="s">
        <v>155</v>
      </c>
      <c r="G87" t="s">
        <v>146</v>
      </c>
      <c r="H87" t="s">
        <v>148</v>
      </c>
      <c r="I87" t="s">
        <v>155</v>
      </c>
      <c r="J87" t="s">
        <v>148</v>
      </c>
      <c r="K87" t="s">
        <v>146</v>
      </c>
    </row>
    <row r="88" spans="1:12" x14ac:dyDescent="0.2">
      <c r="A88">
        <v>12</v>
      </c>
      <c r="B88" t="s">
        <v>129</v>
      </c>
      <c r="C88">
        <v>2</v>
      </c>
      <c r="D88" s="1" t="s">
        <v>175</v>
      </c>
      <c r="E88">
        <v>16</v>
      </c>
      <c r="F88" t="s">
        <v>155</v>
      </c>
      <c r="G88" t="s">
        <v>146</v>
      </c>
      <c r="H88" t="s">
        <v>148</v>
      </c>
      <c r="I88" t="s">
        <v>155</v>
      </c>
      <c r="J88" t="s">
        <v>148</v>
      </c>
      <c r="K88" t="s">
        <v>146</v>
      </c>
    </row>
    <row r="90" spans="1:12" x14ac:dyDescent="0.2">
      <c r="A90">
        <v>7</v>
      </c>
      <c r="B90" t="s">
        <v>113</v>
      </c>
      <c r="C90">
        <v>2</v>
      </c>
      <c r="D90" s="1" t="s">
        <v>176</v>
      </c>
      <c r="E90">
        <v>688</v>
      </c>
      <c r="G90" t="s">
        <v>154</v>
      </c>
      <c r="K90" t="s">
        <v>146</v>
      </c>
      <c r="L90" t="s">
        <v>147</v>
      </c>
    </row>
    <row r="91" spans="1:12" x14ac:dyDescent="0.2">
      <c r="A91">
        <v>13</v>
      </c>
      <c r="B91" t="s">
        <v>134</v>
      </c>
      <c r="C91">
        <v>2</v>
      </c>
      <c r="D91" s="1" t="s">
        <v>176</v>
      </c>
      <c r="E91">
        <v>1993</v>
      </c>
      <c r="G91" t="s">
        <v>154</v>
      </c>
      <c r="K91" t="s">
        <v>146</v>
      </c>
      <c r="L91" t="s">
        <v>147</v>
      </c>
    </row>
    <row r="93" spans="1:12" x14ac:dyDescent="0.2">
      <c r="A93">
        <v>5</v>
      </c>
      <c r="B93" t="s">
        <v>105</v>
      </c>
      <c r="C93">
        <v>2</v>
      </c>
      <c r="D93" s="1" t="s">
        <v>177</v>
      </c>
      <c r="E93">
        <v>4862</v>
      </c>
      <c r="F93" t="s">
        <v>149</v>
      </c>
      <c r="G93" t="s">
        <v>147</v>
      </c>
      <c r="H93" t="s">
        <v>149</v>
      </c>
      <c r="I93" t="s">
        <v>148</v>
      </c>
      <c r="J93" t="s">
        <v>148</v>
      </c>
      <c r="L93" t="s">
        <v>147</v>
      </c>
    </row>
    <row r="94" spans="1:12" x14ac:dyDescent="0.2">
      <c r="A94">
        <v>8</v>
      </c>
      <c r="B94" t="s">
        <v>116</v>
      </c>
      <c r="C94">
        <v>2</v>
      </c>
      <c r="D94" s="1" t="s">
        <v>177</v>
      </c>
      <c r="E94">
        <v>29</v>
      </c>
      <c r="F94" t="s">
        <v>149</v>
      </c>
      <c r="G94" t="s">
        <v>147</v>
      </c>
      <c r="H94" t="s">
        <v>149</v>
      </c>
      <c r="I94" t="s">
        <v>148</v>
      </c>
      <c r="J94" t="s">
        <v>148</v>
      </c>
      <c r="L94" t="s">
        <v>147</v>
      </c>
    </row>
    <row r="95" spans="1:12" x14ac:dyDescent="0.2">
      <c r="D95" s="1"/>
    </row>
    <row r="96" spans="1:12" x14ac:dyDescent="0.2">
      <c r="A96">
        <v>12</v>
      </c>
      <c r="B96" t="s">
        <v>128</v>
      </c>
      <c r="C96">
        <v>2</v>
      </c>
      <c r="D96" s="1" t="s">
        <v>178</v>
      </c>
      <c r="E96">
        <v>1644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14</v>
      </c>
      <c r="B97" t="s">
        <v>137</v>
      </c>
      <c r="C97">
        <v>2</v>
      </c>
      <c r="D97" s="1" t="s">
        <v>178</v>
      </c>
      <c r="E97">
        <v>4866</v>
      </c>
      <c r="G97" t="s">
        <v>147</v>
      </c>
      <c r="J97" t="s">
        <v>148</v>
      </c>
      <c r="L97" t="s">
        <v>147</v>
      </c>
    </row>
    <row r="99" spans="1:12" x14ac:dyDescent="0.2">
      <c r="A99">
        <v>5</v>
      </c>
      <c r="B99" t="s">
        <v>107</v>
      </c>
      <c r="C99">
        <v>2</v>
      </c>
      <c r="D99" s="1" t="s">
        <v>186</v>
      </c>
      <c r="E99">
        <v>363</v>
      </c>
      <c r="F99" t="s">
        <v>156</v>
      </c>
      <c r="G99" t="s">
        <v>154</v>
      </c>
      <c r="H99" t="s">
        <v>149</v>
      </c>
      <c r="I99" t="s">
        <v>155</v>
      </c>
      <c r="J99" t="s">
        <v>148</v>
      </c>
      <c r="K99" t="s">
        <v>146</v>
      </c>
      <c r="L99" t="s">
        <v>147</v>
      </c>
    </row>
    <row r="100" spans="1:12" x14ac:dyDescent="0.2">
      <c r="A100">
        <v>9</v>
      </c>
      <c r="B100" t="s">
        <v>122</v>
      </c>
      <c r="C100">
        <v>2</v>
      </c>
      <c r="D100" s="1" t="s">
        <v>186</v>
      </c>
      <c r="E100">
        <v>132</v>
      </c>
      <c r="F100" t="s">
        <v>156</v>
      </c>
      <c r="G100" t="s">
        <v>158</v>
      </c>
      <c r="H100" t="s">
        <v>149</v>
      </c>
      <c r="I100" t="s">
        <v>155</v>
      </c>
      <c r="J100" t="s">
        <v>148</v>
      </c>
      <c r="K100" t="s">
        <v>146</v>
      </c>
      <c r="L100" t="s">
        <v>147</v>
      </c>
    </row>
    <row r="101" spans="1:12" x14ac:dyDescent="0.2">
      <c r="A101">
        <v>12</v>
      </c>
      <c r="B101" t="s">
        <v>130</v>
      </c>
      <c r="C101">
        <v>2</v>
      </c>
      <c r="D101" s="1" t="s">
        <v>186</v>
      </c>
      <c r="E101">
        <v>125</v>
      </c>
      <c r="F101" t="s">
        <v>156</v>
      </c>
      <c r="G101" t="s">
        <v>154</v>
      </c>
      <c r="H101" t="s">
        <v>149</v>
      </c>
      <c r="I101" t="s">
        <v>155</v>
      </c>
      <c r="J101" t="s">
        <v>148</v>
      </c>
      <c r="K101" t="s">
        <v>146</v>
      </c>
      <c r="L101" t="s">
        <v>147</v>
      </c>
    </row>
    <row r="102" spans="1:12" x14ac:dyDescent="0.2">
      <c r="A102">
        <v>15</v>
      </c>
      <c r="B102" t="s">
        <v>144</v>
      </c>
      <c r="C102">
        <v>2</v>
      </c>
      <c r="D102" s="1" t="s">
        <v>186</v>
      </c>
      <c r="E102">
        <v>2942</v>
      </c>
      <c r="F102" t="s">
        <v>156</v>
      </c>
      <c r="G102" t="s">
        <v>158</v>
      </c>
      <c r="H102" t="s">
        <v>149</v>
      </c>
      <c r="I102" t="s">
        <v>155</v>
      </c>
      <c r="J102" t="s">
        <v>148</v>
      </c>
      <c r="K102" t="s">
        <v>146</v>
      </c>
      <c r="L102" t="s">
        <v>147</v>
      </c>
    </row>
    <row r="103" spans="1:12" x14ac:dyDescent="0.2">
      <c r="D103" s="1"/>
    </row>
    <row r="104" spans="1:12" x14ac:dyDescent="0.2">
      <c r="A104">
        <v>9</v>
      </c>
      <c r="B104" t="s">
        <v>120</v>
      </c>
      <c r="C104">
        <v>2</v>
      </c>
      <c r="D104" s="1" t="s">
        <v>187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187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15</v>
      </c>
      <c r="B106" t="s">
        <v>142</v>
      </c>
      <c r="C106">
        <v>2</v>
      </c>
      <c r="D106" s="1" t="s">
        <v>187</v>
      </c>
      <c r="E106">
        <v>4916</v>
      </c>
      <c r="F106" t="s">
        <v>149</v>
      </c>
      <c r="G106" t="s">
        <v>158</v>
      </c>
      <c r="H106" t="s">
        <v>149</v>
      </c>
      <c r="I106" t="s">
        <v>148</v>
      </c>
      <c r="J106" t="s">
        <v>148</v>
      </c>
      <c r="K106" t="s">
        <v>146</v>
      </c>
      <c r="L106" t="s">
        <v>147</v>
      </c>
    </row>
    <row r="107" spans="1:12" x14ac:dyDescent="0.2">
      <c r="A107">
        <v>15</v>
      </c>
      <c r="B107" t="s">
        <v>143</v>
      </c>
      <c r="C107">
        <v>2</v>
      </c>
      <c r="D107" s="1" t="s">
        <v>187</v>
      </c>
      <c r="E107">
        <v>226</v>
      </c>
      <c r="F107" t="s">
        <v>155</v>
      </c>
      <c r="G107" t="s">
        <v>158</v>
      </c>
      <c r="H107" t="s">
        <v>148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D108" s="1"/>
    </row>
    <row r="109" spans="1:12" x14ac:dyDescent="0.2">
      <c r="A109">
        <v>14</v>
      </c>
      <c r="B109" t="s">
        <v>138</v>
      </c>
      <c r="C109">
        <v>2</v>
      </c>
      <c r="D109" s="1" t="s">
        <v>188</v>
      </c>
      <c r="E109">
        <v>3526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14</v>
      </c>
      <c r="B110" t="s">
        <v>139</v>
      </c>
      <c r="C110">
        <v>2</v>
      </c>
      <c r="D110" s="1" t="s">
        <v>188</v>
      </c>
      <c r="E110">
        <v>4892</v>
      </c>
      <c r="G110" t="s">
        <v>154</v>
      </c>
      <c r="J110" t="s">
        <v>148</v>
      </c>
      <c r="K110" t="s">
        <v>146</v>
      </c>
      <c r="L110" t="s">
        <v>147</v>
      </c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7" spans="3:5" x14ac:dyDescent="0.2">
      <c r="C127" s="1"/>
      <c r="D127" s="1"/>
      <c r="E127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42" spans="3:5" x14ac:dyDescent="0.2">
      <c r="C142" s="1"/>
      <c r="D142" s="1"/>
      <c r="E14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0BC37-39A0-404D-8981-2DDCADDC0F1B}">
  <dimension ref="A1:R63"/>
  <sheetViews>
    <sheetView zoomScaleNormal="100" workbookViewId="0">
      <selection sqref="A1:XFD20"/>
    </sheetView>
  </sheetViews>
  <sheetFormatPr baseColWidth="10" defaultRowHeight="16" x14ac:dyDescent="0.2"/>
  <cols>
    <col min="4" max="5" width="30" customWidth="1"/>
  </cols>
  <sheetData>
    <row r="1" spans="1:18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3</v>
      </c>
      <c r="M1" t="s">
        <v>6</v>
      </c>
      <c r="N1" t="s">
        <v>5</v>
      </c>
      <c r="O1" t="s">
        <v>4</v>
      </c>
      <c r="P1" t="s">
        <v>7</v>
      </c>
      <c r="Q1" t="s">
        <v>8</v>
      </c>
      <c r="R1" t="s">
        <v>9</v>
      </c>
    </row>
    <row r="2" spans="1:18" x14ac:dyDescent="0.2">
      <c r="A2">
        <v>3</v>
      </c>
      <c r="B2" t="s">
        <v>12</v>
      </c>
      <c r="C2">
        <v>0</v>
      </c>
      <c r="D2" t="s">
        <v>195</v>
      </c>
      <c r="E2">
        <v>140</v>
      </c>
      <c r="F2">
        <v>25</v>
      </c>
      <c r="G2">
        <v>13</v>
      </c>
      <c r="H2">
        <v>0</v>
      </c>
      <c r="I2">
        <v>0</v>
      </c>
      <c r="J2">
        <v>102</v>
      </c>
      <c r="K2">
        <v>0</v>
      </c>
    </row>
    <row r="3" spans="1:18" x14ac:dyDescent="0.2">
      <c r="A3">
        <v>6</v>
      </c>
      <c r="B3" t="s">
        <v>20</v>
      </c>
      <c r="C3">
        <v>0</v>
      </c>
      <c r="D3" t="s">
        <v>195</v>
      </c>
      <c r="E3">
        <v>52</v>
      </c>
      <c r="F3">
        <v>8</v>
      </c>
      <c r="G3">
        <v>23</v>
      </c>
      <c r="H3">
        <v>0</v>
      </c>
      <c r="I3">
        <v>0</v>
      </c>
      <c r="J3">
        <v>21</v>
      </c>
      <c r="K3">
        <v>0</v>
      </c>
    </row>
    <row r="4" spans="1:18" x14ac:dyDescent="0.2">
      <c r="A4">
        <v>10</v>
      </c>
      <c r="B4" t="s">
        <v>34</v>
      </c>
      <c r="C4">
        <v>0</v>
      </c>
      <c r="D4" t="s">
        <v>195</v>
      </c>
      <c r="E4">
        <v>183</v>
      </c>
      <c r="F4">
        <v>45</v>
      </c>
      <c r="G4">
        <v>40</v>
      </c>
      <c r="H4">
        <v>0</v>
      </c>
      <c r="I4">
        <v>0</v>
      </c>
      <c r="J4">
        <v>97</v>
      </c>
      <c r="K4">
        <v>0</v>
      </c>
    </row>
    <row r="5" spans="1:18" x14ac:dyDescent="0.2">
      <c r="A5">
        <v>4</v>
      </c>
      <c r="B5" t="s">
        <v>13</v>
      </c>
      <c r="C5">
        <v>0</v>
      </c>
      <c r="D5" t="s">
        <v>195</v>
      </c>
      <c r="E5">
        <v>24186</v>
      </c>
      <c r="F5">
        <v>5948</v>
      </c>
      <c r="G5">
        <v>10321</v>
      </c>
      <c r="H5">
        <v>0</v>
      </c>
      <c r="I5">
        <v>0</v>
      </c>
      <c r="J5">
        <v>7914</v>
      </c>
      <c r="K5">
        <v>0</v>
      </c>
      <c r="Q5" t="s">
        <v>146</v>
      </c>
    </row>
    <row r="6" spans="1:18" x14ac:dyDescent="0.2">
      <c r="A6">
        <v>11</v>
      </c>
      <c r="B6" t="s">
        <v>36</v>
      </c>
      <c r="C6">
        <v>0</v>
      </c>
      <c r="D6" t="s">
        <v>195</v>
      </c>
      <c r="E6">
        <v>4553</v>
      </c>
      <c r="F6">
        <v>824</v>
      </c>
      <c r="G6">
        <v>2795</v>
      </c>
      <c r="H6">
        <v>0</v>
      </c>
      <c r="I6">
        <v>0</v>
      </c>
      <c r="J6">
        <v>934</v>
      </c>
      <c r="K6">
        <v>0</v>
      </c>
      <c r="Q6" t="s">
        <v>146</v>
      </c>
    </row>
    <row r="7" spans="1:18" x14ac:dyDescent="0.2">
      <c r="F7">
        <f>SUM(F2:F6)</f>
        <v>6850</v>
      </c>
      <c r="G7">
        <f t="shared" ref="G7:K7" si="0">SUM(G2:G6)</f>
        <v>13192</v>
      </c>
      <c r="H7">
        <f t="shared" si="0"/>
        <v>0</v>
      </c>
      <c r="I7">
        <f t="shared" si="0"/>
        <v>0</v>
      </c>
      <c r="J7">
        <f t="shared" si="0"/>
        <v>9068</v>
      </c>
      <c r="K7">
        <f t="shared" si="0"/>
        <v>0</v>
      </c>
    </row>
    <row r="9" spans="1:18" x14ac:dyDescent="0.2">
      <c r="A9">
        <v>7</v>
      </c>
      <c r="B9" t="s">
        <v>22</v>
      </c>
      <c r="C9">
        <v>0</v>
      </c>
      <c r="D9" t="s">
        <v>196</v>
      </c>
      <c r="E9">
        <f>SUM(F9:K9)</f>
        <v>2925</v>
      </c>
      <c r="F9">
        <v>530</v>
      </c>
      <c r="G9">
        <v>611</v>
      </c>
      <c r="H9">
        <v>132</v>
      </c>
      <c r="I9">
        <v>79</v>
      </c>
      <c r="J9">
        <v>1376</v>
      </c>
      <c r="K9">
        <v>197</v>
      </c>
      <c r="N9" t="s">
        <v>147</v>
      </c>
      <c r="R9" t="s">
        <v>147</v>
      </c>
    </row>
    <row r="10" spans="1:18" ht="15" customHeight="1" x14ac:dyDescent="0.2">
      <c r="A10">
        <v>13</v>
      </c>
      <c r="B10" t="s">
        <v>42</v>
      </c>
      <c r="C10">
        <v>0</v>
      </c>
      <c r="D10" t="s">
        <v>196</v>
      </c>
      <c r="E10">
        <f t="shared" ref="E10:E11" si="1">SUM(F10:K10)</f>
        <v>4856</v>
      </c>
      <c r="F10">
        <v>558</v>
      </c>
      <c r="G10">
        <v>209</v>
      </c>
      <c r="H10">
        <v>91</v>
      </c>
      <c r="I10">
        <v>87</v>
      </c>
      <c r="J10">
        <v>3259</v>
      </c>
      <c r="K10">
        <v>652</v>
      </c>
      <c r="N10" t="s">
        <v>147</v>
      </c>
      <c r="R10" t="s">
        <v>147</v>
      </c>
    </row>
    <row r="11" spans="1:18" x14ac:dyDescent="0.2">
      <c r="A11">
        <v>14</v>
      </c>
      <c r="B11" t="s">
        <v>47</v>
      </c>
      <c r="C11">
        <v>0</v>
      </c>
      <c r="D11" t="s">
        <v>196</v>
      </c>
      <c r="E11">
        <f t="shared" si="1"/>
        <v>179758</v>
      </c>
      <c r="F11">
        <v>32572</v>
      </c>
      <c r="G11">
        <v>48752</v>
      </c>
      <c r="H11">
        <v>11287</v>
      </c>
      <c r="I11">
        <v>4655</v>
      </c>
      <c r="J11">
        <v>69688</v>
      </c>
      <c r="K11">
        <v>12804</v>
      </c>
      <c r="N11" t="s">
        <v>147</v>
      </c>
      <c r="Q11" t="s">
        <v>146</v>
      </c>
      <c r="R11" t="s">
        <v>147</v>
      </c>
    </row>
    <row r="12" spans="1:18" x14ac:dyDescent="0.2">
      <c r="F12">
        <f>SUM(F9:F11)</f>
        <v>33660</v>
      </c>
      <c r="G12">
        <f t="shared" ref="G12:K12" si="2">SUM(G9:G11)</f>
        <v>49572</v>
      </c>
      <c r="H12">
        <f t="shared" si="2"/>
        <v>11510</v>
      </c>
      <c r="I12">
        <f t="shared" si="2"/>
        <v>4821</v>
      </c>
      <c r="J12">
        <f t="shared" si="2"/>
        <v>74323</v>
      </c>
      <c r="K12">
        <f t="shared" si="2"/>
        <v>13653</v>
      </c>
    </row>
    <row r="14" spans="1:18" ht="17" customHeight="1" x14ac:dyDescent="0.2">
      <c r="A14">
        <v>8</v>
      </c>
      <c r="B14" t="s">
        <v>27</v>
      </c>
      <c r="C14">
        <v>0</v>
      </c>
      <c r="D14" t="s">
        <v>197</v>
      </c>
      <c r="E14">
        <f t="shared" ref="E14:E16" si="3">SUM(F14:K14)</f>
        <v>469</v>
      </c>
      <c r="F14">
        <v>5</v>
      </c>
      <c r="G14">
        <v>43</v>
      </c>
      <c r="H14">
        <v>255</v>
      </c>
      <c r="I14">
        <v>104</v>
      </c>
      <c r="J14">
        <v>16</v>
      </c>
      <c r="K14">
        <v>46</v>
      </c>
      <c r="L14" t="s">
        <v>155</v>
      </c>
      <c r="M14" t="s">
        <v>146</v>
      </c>
      <c r="N14" t="s">
        <v>148</v>
      </c>
      <c r="O14" t="s">
        <v>155</v>
      </c>
      <c r="P14" t="s">
        <v>148</v>
      </c>
      <c r="Q14" t="s">
        <v>146</v>
      </c>
    </row>
    <row r="15" spans="1:18" x14ac:dyDescent="0.2">
      <c r="A15">
        <v>12</v>
      </c>
      <c r="B15" t="s">
        <v>38</v>
      </c>
      <c r="C15">
        <v>0</v>
      </c>
      <c r="D15" t="s">
        <v>197</v>
      </c>
      <c r="E15">
        <f t="shared" si="3"/>
        <v>6542</v>
      </c>
      <c r="F15">
        <v>220</v>
      </c>
      <c r="G15">
        <v>373</v>
      </c>
      <c r="H15">
        <v>1695</v>
      </c>
      <c r="I15">
        <v>1775</v>
      </c>
      <c r="J15">
        <v>393</v>
      </c>
      <c r="K15">
        <v>2086</v>
      </c>
      <c r="L15" t="s">
        <v>155</v>
      </c>
      <c r="M15" t="s">
        <v>146</v>
      </c>
      <c r="N15" t="s">
        <v>148</v>
      </c>
      <c r="O15" t="s">
        <v>155</v>
      </c>
      <c r="P15" t="s">
        <v>148</v>
      </c>
      <c r="Q15" t="s">
        <v>146</v>
      </c>
    </row>
    <row r="16" spans="1:18" x14ac:dyDescent="0.2">
      <c r="A16">
        <v>5</v>
      </c>
      <c r="B16" t="s">
        <v>17</v>
      </c>
      <c r="C16">
        <v>0</v>
      </c>
      <c r="D16" t="s">
        <v>197</v>
      </c>
      <c r="E16">
        <f t="shared" si="3"/>
        <v>6137</v>
      </c>
      <c r="F16">
        <v>150</v>
      </c>
      <c r="G16">
        <v>90</v>
      </c>
      <c r="H16">
        <v>329</v>
      </c>
      <c r="I16">
        <v>973</v>
      </c>
      <c r="J16">
        <v>905</v>
      </c>
      <c r="K16">
        <v>3690</v>
      </c>
      <c r="L16" t="s">
        <v>155</v>
      </c>
      <c r="M16" t="s">
        <v>146</v>
      </c>
      <c r="N16" t="s">
        <v>148</v>
      </c>
      <c r="O16" t="s">
        <v>155</v>
      </c>
      <c r="P16" t="s">
        <v>148</v>
      </c>
      <c r="Q16" t="s">
        <v>146</v>
      </c>
    </row>
    <row r="17" spans="1:18" x14ac:dyDescent="0.2">
      <c r="F17">
        <f>SUM(F14:F16)</f>
        <v>375</v>
      </c>
      <c r="G17">
        <f t="shared" ref="G17" si="4">SUM(G14:G16)</f>
        <v>506</v>
      </c>
      <c r="H17">
        <f t="shared" ref="H17" si="5">SUM(H14:H16)</f>
        <v>2279</v>
      </c>
      <c r="I17">
        <f t="shared" ref="I17" si="6">SUM(I14:I16)</f>
        <v>2852</v>
      </c>
      <c r="J17">
        <f t="shared" ref="J17" si="7">SUM(J14:J16)</f>
        <v>1314</v>
      </c>
      <c r="K17">
        <f t="shared" ref="K17" si="8">SUM(K14:K16)</f>
        <v>5822</v>
      </c>
    </row>
    <row r="19" spans="1:18" x14ac:dyDescent="0.2">
      <c r="A19">
        <v>9</v>
      </c>
      <c r="B19" t="s">
        <v>179</v>
      </c>
      <c r="C19">
        <v>0</v>
      </c>
      <c r="D19" s="1" t="s">
        <v>198</v>
      </c>
      <c r="E19">
        <f t="shared" ref="E19:E20" si="9">SUM(F19:K19)</f>
        <v>8337</v>
      </c>
      <c r="F19">
        <v>960</v>
      </c>
      <c r="G19">
        <v>1700</v>
      </c>
      <c r="H19">
        <v>1494</v>
      </c>
      <c r="I19">
        <v>933</v>
      </c>
      <c r="J19">
        <v>1123</v>
      </c>
      <c r="K19">
        <v>2127</v>
      </c>
      <c r="L19" t="s">
        <v>155</v>
      </c>
      <c r="M19" t="s">
        <v>146</v>
      </c>
      <c r="N19" t="s">
        <v>150</v>
      </c>
      <c r="O19" t="s">
        <v>155</v>
      </c>
      <c r="P19" t="s">
        <v>148</v>
      </c>
      <c r="Q19" t="s">
        <v>146</v>
      </c>
      <c r="R19" t="s">
        <v>147</v>
      </c>
    </row>
    <row r="20" spans="1:18" x14ac:dyDescent="0.2">
      <c r="A20">
        <v>15</v>
      </c>
      <c r="B20" t="s">
        <v>52</v>
      </c>
      <c r="C20">
        <v>0</v>
      </c>
      <c r="D20" s="1" t="s">
        <v>198</v>
      </c>
      <c r="E20">
        <f t="shared" si="9"/>
        <v>64833</v>
      </c>
      <c r="F20">
        <v>3967</v>
      </c>
      <c r="G20">
        <v>3252</v>
      </c>
      <c r="H20">
        <v>4181</v>
      </c>
      <c r="I20">
        <v>7632</v>
      </c>
      <c r="J20">
        <v>13112</v>
      </c>
      <c r="K20">
        <v>32689</v>
      </c>
      <c r="L20" t="s">
        <v>155</v>
      </c>
      <c r="M20" t="s">
        <v>146</v>
      </c>
      <c r="N20" t="s">
        <v>150</v>
      </c>
      <c r="O20" t="s">
        <v>155</v>
      </c>
      <c r="P20" t="s">
        <v>148</v>
      </c>
      <c r="Q20" t="s">
        <v>146</v>
      </c>
      <c r="R20" t="s">
        <v>147</v>
      </c>
    </row>
    <row r="21" spans="1:18" x14ac:dyDescent="0.2">
      <c r="F21">
        <f>SUM(F19:F20)</f>
        <v>4927</v>
      </c>
      <c r="G21">
        <f t="shared" ref="G21:K21" si="10">SUM(G19:G20)</f>
        <v>4952</v>
      </c>
      <c r="H21">
        <f t="shared" si="10"/>
        <v>5675</v>
      </c>
      <c r="I21">
        <f t="shared" si="10"/>
        <v>8565</v>
      </c>
      <c r="J21">
        <f t="shared" si="10"/>
        <v>14235</v>
      </c>
      <c r="K21">
        <f t="shared" si="10"/>
        <v>34816</v>
      </c>
    </row>
    <row r="29" spans="1:18" ht="17" customHeight="1" x14ac:dyDescent="0.2"/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42" spans="4:5" x14ac:dyDescent="0.2">
      <c r="D42" s="1"/>
      <c r="E42" s="1"/>
    </row>
    <row r="43" spans="4:5" x14ac:dyDescent="0.2">
      <c r="D43" s="1"/>
      <c r="E43" s="1"/>
    </row>
    <row r="44" spans="4:5" x14ac:dyDescent="0.2">
      <c r="D44" s="1"/>
      <c r="E44" s="1"/>
    </row>
    <row r="45" spans="4:5" x14ac:dyDescent="0.2">
      <c r="D45" s="1"/>
      <c r="E45" s="1"/>
    </row>
    <row r="46" spans="4:5" x14ac:dyDescent="0.2">
      <c r="D46" s="1"/>
      <c r="E46" s="1"/>
    </row>
    <row r="47" spans="4:5" x14ac:dyDescent="0.2">
      <c r="D47" s="1"/>
      <c r="E47" s="1"/>
    </row>
    <row r="49" spans="4:5" x14ac:dyDescent="0.2">
      <c r="D49" s="1"/>
      <c r="E49" s="1"/>
    </row>
    <row r="51" spans="4:5" x14ac:dyDescent="0.2">
      <c r="D51" s="1"/>
      <c r="E51" s="1"/>
    </row>
    <row r="55" spans="4:5" x14ac:dyDescent="0.2">
      <c r="D55" s="1"/>
      <c r="E55" s="1"/>
    </row>
    <row r="56" spans="4:5" x14ac:dyDescent="0.2">
      <c r="D56" s="1"/>
      <c r="E56" s="1"/>
    </row>
    <row r="57" spans="4:5" x14ac:dyDescent="0.2">
      <c r="D57" s="1"/>
      <c r="E57" s="1"/>
    </row>
    <row r="58" spans="4:5" x14ac:dyDescent="0.2">
      <c r="D58" s="1"/>
      <c r="E58" s="1"/>
    </row>
    <row r="59" spans="4:5" x14ac:dyDescent="0.2">
      <c r="D59" s="1"/>
      <c r="E59" s="1"/>
    </row>
    <row r="60" spans="4:5" x14ac:dyDescent="0.2">
      <c r="D60" s="1"/>
      <c r="E60" s="1"/>
    </row>
    <row r="61" spans="4:5" x14ac:dyDescent="0.2">
      <c r="D61" s="1"/>
      <c r="E61" s="1"/>
    </row>
    <row r="62" spans="4:5" x14ac:dyDescent="0.2">
      <c r="D62" s="1"/>
      <c r="E62" s="1"/>
    </row>
    <row r="63" spans="4:5" x14ac:dyDescent="0.2">
      <c r="D63" s="1"/>
      <c r="E6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6A21-5309-FB4C-9C4E-9E8239DEBBF3}">
  <dimension ref="A1:O21"/>
  <sheetViews>
    <sheetView tabSelected="1" zoomScale="90" zoomScaleNormal="90" workbookViewId="0">
      <selection activeCell="K9" sqref="K9:K11"/>
    </sheetView>
  </sheetViews>
  <sheetFormatPr baseColWidth="10" defaultRowHeight="16" x14ac:dyDescent="0.2"/>
  <cols>
    <col min="4" max="4" width="14.6640625" customWidth="1"/>
    <col min="9" max="9" width="14" customWidth="1"/>
    <col min="11" max="11" width="18.83203125" customWidth="1"/>
  </cols>
  <sheetData>
    <row r="1" spans="1:15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I1" t="s">
        <v>3</v>
      </c>
      <c r="J1" t="s">
        <v>6</v>
      </c>
      <c r="K1" t="s">
        <v>5</v>
      </c>
      <c r="L1" t="s">
        <v>4</v>
      </c>
      <c r="M1" t="s">
        <v>7</v>
      </c>
      <c r="N1" t="s">
        <v>8</v>
      </c>
      <c r="O1" t="s">
        <v>9</v>
      </c>
    </row>
    <row r="2" spans="1:15" x14ac:dyDescent="0.2">
      <c r="A2">
        <v>3</v>
      </c>
      <c r="B2" t="s">
        <v>12</v>
      </c>
      <c r="C2">
        <v>0</v>
      </c>
      <c r="D2" t="s">
        <v>195</v>
      </c>
      <c r="E2">
        <f>SUM(F2:H2)</f>
        <v>120</v>
      </c>
      <c r="F2">
        <v>89</v>
      </c>
      <c r="G2">
        <v>23</v>
      </c>
      <c r="H2">
        <v>8</v>
      </c>
    </row>
    <row r="3" spans="1:15" x14ac:dyDescent="0.2">
      <c r="A3">
        <v>6</v>
      </c>
      <c r="B3" t="s">
        <v>20</v>
      </c>
      <c r="C3">
        <v>0</v>
      </c>
      <c r="D3" t="s">
        <v>195</v>
      </c>
      <c r="E3">
        <f>SUM(F3:H3)</f>
        <v>46</v>
      </c>
      <c r="F3">
        <v>18</v>
      </c>
      <c r="G3">
        <v>6</v>
      </c>
      <c r="H3">
        <v>22</v>
      </c>
    </row>
    <row r="4" spans="1:15" x14ac:dyDescent="0.2">
      <c r="A4">
        <v>10</v>
      </c>
      <c r="B4" t="s">
        <v>34</v>
      </c>
      <c r="C4">
        <v>0</v>
      </c>
      <c r="D4" t="s">
        <v>195</v>
      </c>
      <c r="E4">
        <f>SUM(F4:H4)</f>
        <v>161</v>
      </c>
      <c r="F4">
        <v>89</v>
      </c>
      <c r="G4">
        <v>38</v>
      </c>
      <c r="H4">
        <v>34</v>
      </c>
    </row>
    <row r="5" spans="1:15" x14ac:dyDescent="0.2">
      <c r="A5">
        <v>4</v>
      </c>
      <c r="B5" t="s">
        <v>13</v>
      </c>
      <c r="C5">
        <v>0</v>
      </c>
      <c r="D5" t="s">
        <v>195</v>
      </c>
      <c r="E5">
        <f>SUM(F5:H5)</f>
        <v>23499</v>
      </c>
      <c r="F5">
        <v>7664</v>
      </c>
      <c r="G5">
        <v>5752</v>
      </c>
      <c r="H5">
        <v>10083</v>
      </c>
      <c r="N5" t="s">
        <v>146</v>
      </c>
    </row>
    <row r="6" spans="1:15" x14ac:dyDescent="0.2">
      <c r="A6">
        <v>11</v>
      </c>
      <c r="B6" t="s">
        <v>36</v>
      </c>
      <c r="C6">
        <v>0</v>
      </c>
      <c r="D6" t="s">
        <v>195</v>
      </c>
      <c r="E6">
        <f>SUM(F6:H6)</f>
        <v>4435</v>
      </c>
      <c r="F6">
        <v>916</v>
      </c>
      <c r="G6">
        <v>794</v>
      </c>
      <c r="H6">
        <v>2725</v>
      </c>
      <c r="N6" t="s">
        <v>146</v>
      </c>
    </row>
    <row r="7" spans="1:15" x14ac:dyDescent="0.2">
      <c r="F7">
        <f>SUM(F2:F6)</f>
        <v>8776</v>
      </c>
      <c r="G7">
        <f t="shared" ref="G7:H7" si="0">SUM(G2:G6)</f>
        <v>6613</v>
      </c>
      <c r="H7">
        <f t="shared" si="0"/>
        <v>12872</v>
      </c>
    </row>
    <row r="9" spans="1:15" x14ac:dyDescent="0.2">
      <c r="A9">
        <v>7</v>
      </c>
      <c r="B9" t="s">
        <v>24</v>
      </c>
      <c r="C9">
        <v>0</v>
      </c>
      <c r="D9" t="s">
        <v>196</v>
      </c>
      <c r="E9">
        <f>SUM(F9:H9)</f>
        <v>2866</v>
      </c>
      <c r="F9">
        <v>1207</v>
      </c>
      <c r="G9">
        <v>909</v>
      </c>
      <c r="H9">
        <v>750</v>
      </c>
      <c r="K9" t="s">
        <v>149</v>
      </c>
      <c r="M9" t="s">
        <v>148</v>
      </c>
      <c r="O9" t="s">
        <v>147</v>
      </c>
    </row>
    <row r="10" spans="1:15" ht="15" customHeight="1" x14ac:dyDescent="0.2">
      <c r="A10">
        <v>13</v>
      </c>
      <c r="B10" t="s">
        <v>44</v>
      </c>
      <c r="C10">
        <v>0</v>
      </c>
      <c r="D10" t="s">
        <v>196</v>
      </c>
      <c r="E10">
        <f>SUM(F10:H10)</f>
        <v>4875</v>
      </c>
      <c r="F10">
        <v>3588</v>
      </c>
      <c r="G10">
        <v>930</v>
      </c>
      <c r="H10">
        <v>357</v>
      </c>
      <c r="K10" t="s">
        <v>149</v>
      </c>
      <c r="M10" t="s">
        <v>148</v>
      </c>
      <c r="O10" t="s">
        <v>147</v>
      </c>
    </row>
    <row r="11" spans="1:15" x14ac:dyDescent="0.2">
      <c r="A11">
        <v>14</v>
      </c>
      <c r="B11" t="s">
        <v>49</v>
      </c>
      <c r="C11">
        <v>0</v>
      </c>
      <c r="D11" t="s">
        <v>196</v>
      </c>
      <c r="E11">
        <f>SUM(F11:H11)</f>
        <v>29342</v>
      </c>
      <c r="F11">
        <v>10407</v>
      </c>
      <c r="G11">
        <v>8900</v>
      </c>
      <c r="H11">
        <v>10035</v>
      </c>
      <c r="K11" t="s">
        <v>149</v>
      </c>
      <c r="M11" t="s">
        <v>148</v>
      </c>
      <c r="N11" t="s">
        <v>146</v>
      </c>
      <c r="O11" t="s">
        <v>147</v>
      </c>
    </row>
    <row r="12" spans="1:15" x14ac:dyDescent="0.2">
      <c r="F12">
        <f>SUM(F9:F11)</f>
        <v>15202</v>
      </c>
      <c r="G12">
        <f t="shared" ref="G12" si="1">SUM(G9:G11)</f>
        <v>10739</v>
      </c>
      <c r="H12">
        <f t="shared" ref="H12" si="2">SUM(H9:H11)</f>
        <v>11142</v>
      </c>
    </row>
    <row r="14" spans="1:15" ht="17" customHeight="1" x14ac:dyDescent="0.2">
      <c r="A14">
        <v>8</v>
      </c>
      <c r="B14" t="s">
        <v>29</v>
      </c>
      <c r="C14">
        <v>0</v>
      </c>
      <c r="D14" t="s">
        <v>197</v>
      </c>
      <c r="E14">
        <f>SUM(F14:H14)</f>
        <v>450</v>
      </c>
      <c r="F14">
        <v>60</v>
      </c>
      <c r="G14">
        <v>85</v>
      </c>
      <c r="H14">
        <v>305</v>
      </c>
      <c r="I14" t="s">
        <v>156</v>
      </c>
      <c r="J14" t="s">
        <v>154</v>
      </c>
      <c r="K14" t="s">
        <v>149</v>
      </c>
      <c r="L14" t="s">
        <v>155</v>
      </c>
      <c r="M14" t="s">
        <v>148</v>
      </c>
      <c r="N14" t="s">
        <v>146</v>
      </c>
      <c r="O14" t="s">
        <v>147</v>
      </c>
    </row>
    <row r="15" spans="1:15" x14ac:dyDescent="0.2">
      <c r="A15">
        <v>12</v>
      </c>
      <c r="B15" t="s">
        <v>40</v>
      </c>
      <c r="C15">
        <v>0</v>
      </c>
      <c r="D15" t="s">
        <v>197</v>
      </c>
      <c r="E15">
        <f>SUM(F15:H15)</f>
        <v>6376</v>
      </c>
      <c r="F15">
        <v>2608</v>
      </c>
      <c r="G15">
        <v>1760</v>
      </c>
      <c r="H15">
        <v>2008</v>
      </c>
      <c r="I15" t="s">
        <v>156</v>
      </c>
      <c r="J15" t="s">
        <v>154</v>
      </c>
      <c r="K15" t="s">
        <v>149</v>
      </c>
      <c r="L15" t="s">
        <v>155</v>
      </c>
      <c r="M15" t="s">
        <v>148</v>
      </c>
      <c r="N15" t="s">
        <v>146</v>
      </c>
      <c r="O15" t="s">
        <v>147</v>
      </c>
    </row>
    <row r="16" spans="1:15" x14ac:dyDescent="0.2">
      <c r="A16">
        <v>5</v>
      </c>
      <c r="B16" t="s">
        <v>18</v>
      </c>
      <c r="C16">
        <v>0</v>
      </c>
      <c r="D16" t="s">
        <v>197</v>
      </c>
      <c r="E16">
        <f>SUM(F16:H16)</f>
        <v>5968</v>
      </c>
      <c r="F16">
        <v>4614</v>
      </c>
      <c r="G16">
        <v>951</v>
      </c>
      <c r="H16">
        <v>403</v>
      </c>
      <c r="I16" t="s">
        <v>156</v>
      </c>
      <c r="J16" t="s">
        <v>154</v>
      </c>
      <c r="K16" t="s">
        <v>149</v>
      </c>
      <c r="L16" t="s">
        <v>155</v>
      </c>
      <c r="M16" t="s">
        <v>148</v>
      </c>
      <c r="N16" t="s">
        <v>146</v>
      </c>
      <c r="O16" t="s">
        <v>147</v>
      </c>
    </row>
    <row r="17" spans="1:15" x14ac:dyDescent="0.2">
      <c r="F17">
        <f>SUM(F14:F16)</f>
        <v>7282</v>
      </c>
      <c r="G17">
        <f t="shared" ref="G17:H17" si="3">SUM(G14:G16)</f>
        <v>2796</v>
      </c>
      <c r="H17">
        <f t="shared" si="3"/>
        <v>2716</v>
      </c>
    </row>
    <row r="19" spans="1:15" x14ac:dyDescent="0.2">
      <c r="A19">
        <v>9</v>
      </c>
      <c r="B19" t="s">
        <v>32</v>
      </c>
      <c r="C19">
        <v>0</v>
      </c>
      <c r="D19" s="1" t="s">
        <v>198</v>
      </c>
      <c r="E19">
        <f>SUM(F19:H19)</f>
        <v>8180</v>
      </c>
      <c r="F19">
        <v>4109</v>
      </c>
      <c r="G19">
        <v>1269</v>
      </c>
      <c r="H19">
        <v>2802</v>
      </c>
      <c r="I19" t="s">
        <v>156</v>
      </c>
      <c r="J19" t="s">
        <v>154</v>
      </c>
      <c r="K19" t="s">
        <v>200</v>
      </c>
      <c r="L19" t="s">
        <v>155</v>
      </c>
      <c r="M19" t="s">
        <v>148</v>
      </c>
      <c r="N19" t="s">
        <v>146</v>
      </c>
      <c r="O19" t="s">
        <v>147</v>
      </c>
    </row>
    <row r="20" spans="1:15" x14ac:dyDescent="0.2">
      <c r="A20">
        <v>15</v>
      </c>
      <c r="B20" t="s">
        <v>54</v>
      </c>
      <c r="C20">
        <v>0</v>
      </c>
      <c r="D20" s="1" t="s">
        <v>198</v>
      </c>
      <c r="E20">
        <f>SUM(F20:H20)</f>
        <v>29512</v>
      </c>
      <c r="F20">
        <v>22748</v>
      </c>
      <c r="G20">
        <v>3890</v>
      </c>
      <c r="H20">
        <v>2874</v>
      </c>
      <c r="I20" t="s">
        <v>156</v>
      </c>
      <c r="J20" t="s">
        <v>154</v>
      </c>
      <c r="K20" t="s">
        <v>200</v>
      </c>
      <c r="L20" t="s">
        <v>155</v>
      </c>
      <c r="M20" t="s">
        <v>148</v>
      </c>
      <c r="N20" t="s">
        <v>146</v>
      </c>
      <c r="O20" t="s">
        <v>147</v>
      </c>
    </row>
    <row r="21" spans="1:15" x14ac:dyDescent="0.2">
      <c r="F21">
        <f>SUM(F19:F20)</f>
        <v>26857</v>
      </c>
      <c r="G21">
        <f t="shared" ref="G21:H21" si="4">SUM(G19:G20)</f>
        <v>5159</v>
      </c>
      <c r="H21">
        <f t="shared" si="4"/>
        <v>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Groups V0</vt:lpstr>
      <vt:lpstr>Groups V1</vt:lpstr>
      <vt:lpstr>Groups V2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2024-05-10T09:24:57Z</dcterms:modified>
</cp:coreProperties>
</file>